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" xfId="0" applyFont="1" applyNumberFormat="1"/>
    <xf borderId="0" fillId="0" fontId="1" numFmtId="3" xfId="0" applyFont="1" applyNumberFormat="1"/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IFERROR(__xludf.DUMMYFUNCTION("IMPORTHTML(""https://en.wikipedia.org/wiki/List_of_Japanese_prefectures_by_area"",""table"",1)"),"Rank")</f>
        <v>Rank</v>
      </c>
      <c r="B1" s="1" t="str">
        <f>IFERROR(__xludf.DUMMYFUNCTION("""COMPUTED_VALUE"""),"Prefecture")</f>
        <v>Prefecture</v>
      </c>
      <c r="C1" s="1" t="str">
        <f>IFERROR(__xludf.DUMMYFUNCTION("""COMPUTED_VALUE"""),"Japanese")</f>
        <v>Japanese</v>
      </c>
      <c r="D1" s="1" t="str">
        <f>IFERROR(__xludf.DUMMYFUNCTION("""COMPUTED_VALUE"""),"Estimated
Area
(km2)[2]")</f>
        <v>Estimated
Area
(km2)[2]</v>
      </c>
      <c r="E1" s="1" t="str">
        <f>IFERROR(__xludf.DUMMYFUNCTION("""COMPUTED_VALUE"""),"Determined
Area
(km2)[3]")</f>
        <v>Determined
Area
(km2)[3]</v>
      </c>
      <c r="F1" s="1" t="str">
        <f>IFERROR(__xludf.DUMMYFUNCTION("""COMPUTED_VALUE"""),"Undetermined
Area
(km2)[4]")</f>
        <v>Undetermined
Area
(km2)[4]</v>
      </c>
      <c r="G1" s="1" t="str">
        <f>IFERROR(__xludf.DUMMYFUNCTION("""COMPUTED_VALUE"""),"Population")</f>
        <v>Population</v>
      </c>
      <c r="H1" s="1" t="str">
        <f>IFERROR(__xludf.DUMMYFUNCTION("""COMPUTED_VALUE"""),"Density
(/km2)")</f>
        <v>Density
(/km2)</v>
      </c>
      <c r="I1" s="1" t="str">
        <f>IFERROR(__xludf.DUMMYFUNCTION("""COMPUTED_VALUE"""),"Inhabitable Area[*citation needed*]")</f>
        <v>Inhabitable Area[*citation needed*]</v>
      </c>
      <c r="J1" s="1"/>
      <c r="K1" s="1" t="str">
        <f>IFERROR(__xludf.DUMMYFUNCTION("""COMPUTED_VALUE"""),"Forest
Area
(%)[*citation needed*]")</f>
        <v>Forest
Area
(%)[*citation needed*]</v>
      </c>
      <c r="L1" s="1" t="str">
        <f>IFERROR(__xludf.DUMMYFUNCTION("""COMPUTED_VALUE"""),"Capital")</f>
        <v>Capital</v>
      </c>
    </row>
    <row r="2">
      <c r="A2" s="1"/>
      <c r="B2" s="1"/>
      <c r="C2" s="1"/>
      <c r="D2" s="1"/>
      <c r="E2" s="1"/>
      <c r="F2" s="1"/>
      <c r="G2" s="1"/>
      <c r="H2" s="1"/>
      <c r="I2" s="1" t="str">
        <f>IFERROR(__xludf.DUMMYFUNCTION("""COMPUTED_VALUE"""),"(km2)")</f>
        <v>(km2)</v>
      </c>
      <c r="J2" s="1" t="str">
        <f>IFERROR(__xludf.DUMMYFUNCTION("""COMPUTED_VALUE"""),"Density
(/km2)")</f>
        <v>Density
(/km2)</v>
      </c>
      <c r="K2" s="1"/>
      <c r="L2" s="1"/>
    </row>
    <row r="3">
      <c r="A3" s="1">
        <f>IFERROR(__xludf.DUMMYFUNCTION("""COMPUTED_VALUE"""),1.0)</f>
        <v>1</v>
      </c>
      <c r="B3" s="1" t="str">
        <f>IFERROR(__xludf.DUMMYFUNCTION("""COMPUTED_VALUE"""),"Hokkaido")</f>
        <v>Hokkaido</v>
      </c>
      <c r="C3" s="1" t="str">
        <f>IFERROR(__xludf.DUMMYFUNCTION("""COMPUTED_VALUE"""),"北海道")</f>
        <v>北海道</v>
      </c>
      <c r="D3" s="2">
        <f>IFERROR(__xludf.DUMMYFUNCTION("""COMPUTED_VALUE"""),83424.31)</f>
        <v>83424.31</v>
      </c>
      <c r="E3" s="2">
        <f>IFERROR(__xludf.DUMMYFUNCTION("""COMPUTED_VALUE"""),83424.31)</f>
        <v>83424.31</v>
      </c>
      <c r="F3" s="1"/>
      <c r="G3" s="3">
        <f>IFERROR(__xludf.DUMMYFUNCTION("""COMPUTED_VALUE"""),5381733.0)</f>
        <v>5381733</v>
      </c>
      <c r="H3" s="1">
        <f>IFERROR(__xludf.DUMMYFUNCTION("""COMPUTED_VALUE"""),64.51)</f>
        <v>64.51</v>
      </c>
      <c r="I3" s="2">
        <f>IFERROR(__xludf.DUMMYFUNCTION("""COMPUTED_VALUE"""),22372.86)</f>
        <v>22372.86</v>
      </c>
      <c r="J3" s="1">
        <f>IFERROR(__xludf.DUMMYFUNCTION("""COMPUTED_VALUE"""),240.55)</f>
        <v>240.55</v>
      </c>
      <c r="K3" s="4">
        <f>IFERROR(__xludf.DUMMYFUNCTION("""COMPUTED_VALUE"""),0.638)</f>
        <v>0.638</v>
      </c>
      <c r="L3" s="1" t="str">
        <f>IFERROR(__xludf.DUMMYFUNCTION("""COMPUTED_VALUE"""),"Sapporo")</f>
        <v>Sapporo</v>
      </c>
    </row>
    <row r="4">
      <c r="A4" s="1">
        <f>IFERROR(__xludf.DUMMYFUNCTION("""COMPUTED_VALUE"""),2.0)</f>
        <v>2</v>
      </c>
      <c r="B4" s="1" t="str">
        <f>IFERROR(__xludf.DUMMYFUNCTION("""COMPUTED_VALUE"""),"Iwate")</f>
        <v>Iwate</v>
      </c>
      <c r="C4" s="1" t="str">
        <f>IFERROR(__xludf.DUMMYFUNCTION("""COMPUTED_VALUE"""),"岩手県")</f>
        <v>岩手県</v>
      </c>
      <c r="D4" s="2">
        <f>IFERROR(__xludf.DUMMYFUNCTION("""COMPUTED_VALUE"""),15275.01)</f>
        <v>15275.01</v>
      </c>
      <c r="E4" s="2">
        <f>IFERROR(__xludf.DUMMYFUNCTION("""COMPUTED_VALUE"""),15275.01)</f>
        <v>15275.01</v>
      </c>
      <c r="F4" s="1"/>
      <c r="G4" s="3">
        <f>IFERROR(__xludf.DUMMYFUNCTION("""COMPUTED_VALUE"""),1279594.0)</f>
        <v>1279594</v>
      </c>
      <c r="H4" s="1">
        <f>IFERROR(__xludf.DUMMYFUNCTION("""COMPUTED_VALUE"""),83.77)</f>
        <v>83.77</v>
      </c>
      <c r="I4" s="2">
        <f>IFERROR(__xludf.DUMMYFUNCTION("""COMPUTED_VALUE"""),3714.01)</f>
        <v>3714.01</v>
      </c>
      <c r="J4" s="1">
        <f>IFERROR(__xludf.DUMMYFUNCTION("""COMPUTED_VALUE"""),344.53)</f>
        <v>344.53</v>
      </c>
      <c r="K4" s="4">
        <f>IFERROR(__xludf.DUMMYFUNCTION("""COMPUTED_VALUE"""),0.749)</f>
        <v>0.749</v>
      </c>
      <c r="L4" s="1" t="str">
        <f>IFERROR(__xludf.DUMMYFUNCTION("""COMPUTED_VALUE"""),"Morioka")</f>
        <v>Morioka</v>
      </c>
    </row>
    <row r="5">
      <c r="A5" s="1">
        <f>IFERROR(__xludf.DUMMYFUNCTION("""COMPUTED_VALUE"""),3.0)</f>
        <v>3</v>
      </c>
      <c r="B5" s="1" t="str">
        <f>IFERROR(__xludf.DUMMYFUNCTION("""COMPUTED_VALUE"""),"Fukushima")</f>
        <v>Fukushima</v>
      </c>
      <c r="C5" s="1" t="str">
        <f>IFERROR(__xludf.DUMMYFUNCTION("""COMPUTED_VALUE"""),"福島県")</f>
        <v>福島県</v>
      </c>
      <c r="D5" s="2">
        <f>IFERROR(__xludf.DUMMYFUNCTION("""COMPUTED_VALUE"""),13783.74)</f>
        <v>13783.74</v>
      </c>
      <c r="E5" s="2">
        <f>IFERROR(__xludf.DUMMYFUNCTION("""COMPUTED_VALUE"""),13783.74)</f>
        <v>13783.74</v>
      </c>
      <c r="F5" s="1"/>
      <c r="G5" s="3">
        <f>IFERROR(__xludf.DUMMYFUNCTION("""COMPUTED_VALUE"""),1914039.0)</f>
        <v>1914039</v>
      </c>
      <c r="H5" s="1">
        <f>IFERROR(__xludf.DUMMYFUNCTION("""COMPUTED_VALUE"""),138.86)</f>
        <v>138.86</v>
      </c>
      <c r="I5" s="2">
        <f>IFERROR(__xludf.DUMMYFUNCTION("""COMPUTED_VALUE"""),4217.02)</f>
        <v>4217.02</v>
      </c>
      <c r="J5" s="1">
        <f>IFERROR(__xludf.DUMMYFUNCTION("""COMPUTED_VALUE"""),453.88)</f>
        <v>453.88</v>
      </c>
      <c r="K5" s="4">
        <f>IFERROR(__xludf.DUMMYFUNCTION("""COMPUTED_VALUE"""),0.679)</f>
        <v>0.679</v>
      </c>
      <c r="L5" s="1" t="str">
        <f>IFERROR(__xludf.DUMMYFUNCTION("""COMPUTED_VALUE"""),"Fukushima")</f>
        <v>Fukushima</v>
      </c>
    </row>
    <row r="6">
      <c r="A6" s="1">
        <f>IFERROR(__xludf.DUMMYFUNCTION("""COMPUTED_VALUE"""),4.0)</f>
        <v>4</v>
      </c>
      <c r="B6" s="1" t="str">
        <f>IFERROR(__xludf.DUMMYFUNCTION("""COMPUTED_VALUE"""),"Nagano")</f>
        <v>Nagano</v>
      </c>
      <c r="C6" s="1" t="str">
        <f>IFERROR(__xludf.DUMMYFUNCTION("""COMPUTED_VALUE"""),"長野県")</f>
        <v>長野県</v>
      </c>
      <c r="D6" s="2">
        <f>IFERROR(__xludf.DUMMYFUNCTION("""COMPUTED_VALUE"""),13561.56)</f>
        <v>13561.56</v>
      </c>
      <c r="E6" s="2">
        <f>IFERROR(__xludf.DUMMYFUNCTION("""COMPUTED_VALUE"""),13104.29)</f>
        <v>13104.29</v>
      </c>
      <c r="F6" s="1">
        <f>IFERROR(__xludf.DUMMYFUNCTION("""COMPUTED_VALUE"""),457.27)</f>
        <v>457.27</v>
      </c>
      <c r="G6" s="3">
        <f>IFERROR(__xludf.DUMMYFUNCTION("""COMPUTED_VALUE"""),2098804.0)</f>
        <v>2098804</v>
      </c>
      <c r="H6" s="1">
        <f>IFERROR(__xludf.DUMMYFUNCTION("""COMPUTED_VALUE"""),154.76)</f>
        <v>154.76</v>
      </c>
      <c r="I6" s="2">
        <f>IFERROR(__xludf.DUMMYFUNCTION("""COMPUTED_VALUE"""),3225.52)</f>
        <v>3225.52</v>
      </c>
      <c r="J6" s="1">
        <f>IFERROR(__xludf.DUMMYFUNCTION("""COMPUTED_VALUE"""),650.69)</f>
        <v>650.69</v>
      </c>
      <c r="K6" s="4">
        <f>IFERROR(__xludf.DUMMYFUNCTION("""COMPUTED_VALUE"""),0.755)</f>
        <v>0.755</v>
      </c>
      <c r="L6" s="1" t="str">
        <f>IFERROR(__xludf.DUMMYFUNCTION("""COMPUTED_VALUE"""),"Nagano")</f>
        <v>Nagano</v>
      </c>
    </row>
    <row r="7">
      <c r="A7" s="1">
        <f>IFERROR(__xludf.DUMMYFUNCTION("""COMPUTED_VALUE"""),5.0)</f>
        <v>5</v>
      </c>
      <c r="B7" s="1" t="str">
        <f>IFERROR(__xludf.DUMMYFUNCTION("""COMPUTED_VALUE"""),"Niigata")</f>
        <v>Niigata</v>
      </c>
      <c r="C7" s="1" t="str">
        <f>IFERROR(__xludf.DUMMYFUNCTION("""COMPUTED_VALUE"""),"新潟県")</f>
        <v>新潟県</v>
      </c>
      <c r="D7" s="2">
        <f>IFERROR(__xludf.DUMMYFUNCTION("""COMPUTED_VALUE"""),12584.1)</f>
        <v>12584.1</v>
      </c>
      <c r="E7" s="2">
        <f>IFERROR(__xludf.DUMMYFUNCTION("""COMPUTED_VALUE"""),10363.99)</f>
        <v>10363.99</v>
      </c>
      <c r="F7" s="2">
        <f>IFERROR(__xludf.DUMMYFUNCTION("""COMPUTED_VALUE"""),2220.11)</f>
        <v>2220.11</v>
      </c>
      <c r="G7" s="3">
        <f>IFERROR(__xludf.DUMMYFUNCTION("""COMPUTED_VALUE"""),2304264.0)</f>
        <v>2304264</v>
      </c>
      <c r="H7" s="1">
        <f>IFERROR(__xludf.DUMMYFUNCTION("""COMPUTED_VALUE"""),183.11)</f>
        <v>183.11</v>
      </c>
      <c r="I7" s="2">
        <f>IFERROR(__xludf.DUMMYFUNCTION("""COMPUTED_VALUE"""),4535.27)</f>
        <v>4535.27</v>
      </c>
      <c r="J7" s="1">
        <f>IFERROR(__xludf.DUMMYFUNCTION("""COMPUTED_VALUE"""),508.08)</f>
        <v>508.08</v>
      </c>
      <c r="K7" s="4">
        <f>IFERROR(__xludf.DUMMYFUNCTION("""COMPUTED_VALUE"""),0.635)</f>
        <v>0.635</v>
      </c>
      <c r="L7" s="1" t="str">
        <f>IFERROR(__xludf.DUMMYFUNCTION("""COMPUTED_VALUE"""),"Niigata")</f>
        <v>Niigata</v>
      </c>
    </row>
    <row r="8">
      <c r="A8" s="1">
        <f>IFERROR(__xludf.DUMMYFUNCTION("""COMPUTED_VALUE"""),6.0)</f>
        <v>6</v>
      </c>
      <c r="B8" s="1" t="str">
        <f>IFERROR(__xludf.DUMMYFUNCTION("""COMPUTED_VALUE"""),"Akita")</f>
        <v>Akita</v>
      </c>
      <c r="C8" s="1" t="str">
        <f>IFERROR(__xludf.DUMMYFUNCTION("""COMPUTED_VALUE"""),"秋田県")</f>
        <v>秋田県</v>
      </c>
      <c r="D8" s="2">
        <f>IFERROR(__xludf.DUMMYFUNCTION("""COMPUTED_VALUE"""),11637.54)</f>
        <v>11637.54</v>
      </c>
      <c r="E8" s="2">
        <f>IFERROR(__xludf.DUMMYFUNCTION("""COMPUTED_VALUE"""),11637.54)</f>
        <v>11637.54</v>
      </c>
      <c r="F8" s="1"/>
      <c r="G8" s="3">
        <f>IFERROR(__xludf.DUMMYFUNCTION("""COMPUTED_VALUE"""),1023119.0)</f>
        <v>1023119</v>
      </c>
      <c r="H8" s="1">
        <f>IFERROR(__xludf.DUMMYFUNCTION("""COMPUTED_VALUE"""),87.92)</f>
        <v>87.92</v>
      </c>
      <c r="I8" s="2">
        <f>IFERROR(__xludf.DUMMYFUNCTION("""COMPUTED_VALUE"""),3204.39)</f>
        <v>3204.39</v>
      </c>
      <c r="J8" s="1">
        <f>IFERROR(__xludf.DUMMYFUNCTION("""COMPUTED_VALUE"""),319.29)</f>
        <v>319.29</v>
      </c>
      <c r="K8" s="4">
        <f>IFERROR(__xludf.DUMMYFUNCTION("""COMPUTED_VALUE"""),0.705)</f>
        <v>0.705</v>
      </c>
      <c r="L8" s="1" t="str">
        <f>IFERROR(__xludf.DUMMYFUNCTION("""COMPUTED_VALUE"""),"Akita")</f>
        <v>Akita</v>
      </c>
    </row>
    <row r="9">
      <c r="A9" s="1">
        <f>IFERROR(__xludf.DUMMYFUNCTION("""COMPUTED_VALUE"""),7.0)</f>
        <v>7</v>
      </c>
      <c r="B9" s="1" t="str">
        <f>IFERROR(__xludf.DUMMYFUNCTION("""COMPUTED_VALUE"""),"Gifu")</f>
        <v>Gifu</v>
      </c>
      <c r="C9" s="1" t="str">
        <f>IFERROR(__xludf.DUMMYFUNCTION("""COMPUTED_VALUE"""),"岐阜県")</f>
        <v>岐阜県</v>
      </c>
      <c r="D9" s="2">
        <f>IFERROR(__xludf.DUMMYFUNCTION("""COMPUTED_VALUE"""),10621.29)</f>
        <v>10621.29</v>
      </c>
      <c r="E9" s="2">
        <f>IFERROR(__xludf.DUMMYFUNCTION("""COMPUTED_VALUE"""),9768.57)</f>
        <v>9768.57</v>
      </c>
      <c r="F9" s="1">
        <f>IFERROR(__xludf.DUMMYFUNCTION("""COMPUTED_VALUE"""),852.72)</f>
        <v>852.72</v>
      </c>
      <c r="G9" s="3">
        <f>IFERROR(__xludf.DUMMYFUNCTION("""COMPUTED_VALUE"""),2031903.0)</f>
        <v>2031903</v>
      </c>
      <c r="H9" s="1">
        <f>IFERROR(__xludf.DUMMYFUNCTION("""COMPUTED_VALUE"""),191.3)</f>
        <v>191.3</v>
      </c>
      <c r="I9" s="2">
        <f>IFERROR(__xludf.DUMMYFUNCTION("""COMPUTED_VALUE"""),2211.13)</f>
        <v>2211.13</v>
      </c>
      <c r="J9" s="1">
        <f>IFERROR(__xludf.DUMMYFUNCTION("""COMPUTED_VALUE"""),918.94)</f>
        <v>918.94</v>
      </c>
      <c r="K9" s="4">
        <f>IFERROR(__xludf.DUMMYFUNCTION("""COMPUTED_VALUE"""),0.79)</f>
        <v>0.79</v>
      </c>
      <c r="L9" s="1" t="str">
        <f>IFERROR(__xludf.DUMMYFUNCTION("""COMPUTED_VALUE"""),"Gifu")</f>
        <v>Gifu</v>
      </c>
    </row>
    <row r="10">
      <c r="A10" s="1">
        <f>IFERROR(__xludf.DUMMYFUNCTION("""COMPUTED_VALUE"""),8.0)</f>
        <v>8</v>
      </c>
      <c r="B10" s="1" t="str">
        <f>IFERROR(__xludf.DUMMYFUNCTION("""COMPUTED_VALUE"""),"Aomori")</f>
        <v>Aomori</v>
      </c>
      <c r="C10" s="1" t="str">
        <f>IFERROR(__xludf.DUMMYFUNCTION("""COMPUTED_VALUE"""),"青森県")</f>
        <v>青森県</v>
      </c>
      <c r="D10" s="2">
        <f>IFERROR(__xludf.DUMMYFUNCTION("""COMPUTED_VALUE"""),9645.59)</f>
        <v>9645.59</v>
      </c>
      <c r="E10" s="2">
        <f>IFERROR(__xludf.DUMMYFUNCTION("""COMPUTED_VALUE"""),9645.59)</f>
        <v>9645.59</v>
      </c>
      <c r="F10" s="1"/>
      <c r="G10" s="3">
        <f>IFERROR(__xludf.DUMMYFUNCTION("""COMPUTED_VALUE"""),1308265.0)</f>
        <v>1308265</v>
      </c>
      <c r="H10" s="1">
        <f>IFERROR(__xludf.DUMMYFUNCTION("""COMPUTED_VALUE"""),135.63)</f>
        <v>135.63</v>
      </c>
      <c r="I10" s="2">
        <f>IFERROR(__xludf.DUMMYFUNCTION("""COMPUTED_VALUE"""),3229.5)</f>
        <v>3229.5</v>
      </c>
      <c r="J10" s="1">
        <f>IFERROR(__xludf.DUMMYFUNCTION("""COMPUTED_VALUE"""),405.1)</f>
        <v>405.1</v>
      </c>
      <c r="K10" s="4">
        <f>IFERROR(__xludf.DUMMYFUNCTION("""COMPUTED_VALUE"""),0.638)</f>
        <v>0.638</v>
      </c>
      <c r="L10" s="1" t="str">
        <f>IFERROR(__xludf.DUMMYFUNCTION("""COMPUTED_VALUE"""),"Aomori")</f>
        <v>Aomori</v>
      </c>
    </row>
    <row r="11">
      <c r="A11" s="1">
        <f>IFERROR(__xludf.DUMMYFUNCTION("""COMPUTED_VALUE"""),9.0)</f>
        <v>9</v>
      </c>
      <c r="B11" s="1" t="str">
        <f>IFERROR(__xludf.DUMMYFUNCTION("""COMPUTED_VALUE"""),"Yamagata")</f>
        <v>Yamagata</v>
      </c>
      <c r="C11" s="1" t="str">
        <f>IFERROR(__xludf.DUMMYFUNCTION("""COMPUTED_VALUE"""),"山形県")</f>
        <v>山形県</v>
      </c>
      <c r="D11" s="2">
        <f>IFERROR(__xludf.DUMMYFUNCTION("""COMPUTED_VALUE"""),9323.15)</f>
        <v>9323.15</v>
      </c>
      <c r="E11" s="2">
        <f>IFERROR(__xludf.DUMMYFUNCTION("""COMPUTED_VALUE"""),6651.83)</f>
        <v>6651.83</v>
      </c>
      <c r="F11" s="2">
        <f>IFERROR(__xludf.DUMMYFUNCTION("""COMPUTED_VALUE"""),2671.32)</f>
        <v>2671.32</v>
      </c>
      <c r="G11" s="3">
        <f>IFERROR(__xludf.DUMMYFUNCTION("""COMPUTED_VALUE"""),1123891.0)</f>
        <v>1123891</v>
      </c>
      <c r="H11" s="1">
        <f>IFERROR(__xludf.DUMMYFUNCTION("""COMPUTED_VALUE"""),120.55)</f>
        <v>120.55</v>
      </c>
      <c r="I11" s="2">
        <f>IFERROR(__xludf.DUMMYFUNCTION("""COMPUTED_VALUE"""),2884.8)</f>
        <v>2884.8</v>
      </c>
      <c r="J11" s="1">
        <f>IFERROR(__xludf.DUMMYFUNCTION("""COMPUTED_VALUE"""),389.59)</f>
        <v>389.59</v>
      </c>
      <c r="K11" s="4">
        <f>IFERROR(__xludf.DUMMYFUNCTION("""COMPUTED_VALUE"""),0.687)</f>
        <v>0.687</v>
      </c>
      <c r="L11" s="1" t="str">
        <f>IFERROR(__xludf.DUMMYFUNCTION("""COMPUTED_VALUE"""),"Yamagata")</f>
        <v>Yamagata</v>
      </c>
    </row>
    <row r="12">
      <c r="A12" s="1">
        <f>IFERROR(__xludf.DUMMYFUNCTION("""COMPUTED_VALUE"""),10.0)</f>
        <v>10</v>
      </c>
      <c r="B12" s="1" t="str">
        <f>IFERROR(__xludf.DUMMYFUNCTION("""COMPUTED_VALUE"""),"Kagoshima")</f>
        <v>Kagoshima</v>
      </c>
      <c r="C12" s="1" t="str">
        <f>IFERROR(__xludf.DUMMYFUNCTION("""COMPUTED_VALUE"""),"鹿児島県")</f>
        <v>鹿児島県</v>
      </c>
      <c r="D12" s="2">
        <f>IFERROR(__xludf.DUMMYFUNCTION("""COMPUTED_VALUE"""),9186.94)</f>
        <v>9186.94</v>
      </c>
      <c r="E12" s="2">
        <f>IFERROR(__xludf.DUMMYFUNCTION("""COMPUTED_VALUE"""),9042.65)</f>
        <v>9042.65</v>
      </c>
      <c r="F12" s="1">
        <f>IFERROR(__xludf.DUMMYFUNCTION("""COMPUTED_VALUE"""),144.29)</f>
        <v>144.29</v>
      </c>
      <c r="G12" s="3">
        <f>IFERROR(__xludf.DUMMYFUNCTION("""COMPUTED_VALUE"""),1648177.0)</f>
        <v>1648177</v>
      </c>
      <c r="H12" s="1">
        <f>IFERROR(__xludf.DUMMYFUNCTION("""COMPUTED_VALUE"""),179.4)</f>
        <v>179.4</v>
      </c>
      <c r="I12" s="2">
        <f>IFERROR(__xludf.DUMMYFUNCTION("""COMPUTED_VALUE"""),3312.81)</f>
        <v>3312.81</v>
      </c>
      <c r="J12" s="1">
        <f>IFERROR(__xludf.DUMMYFUNCTION("""COMPUTED_VALUE"""),497.52)</f>
        <v>497.52</v>
      </c>
      <c r="K12" s="4">
        <f>IFERROR(__xludf.DUMMYFUNCTION("""COMPUTED_VALUE"""),0.634)</f>
        <v>0.634</v>
      </c>
      <c r="L12" s="1" t="str">
        <f>IFERROR(__xludf.DUMMYFUNCTION("""COMPUTED_VALUE"""),"Kagoshima")</f>
        <v>Kagoshima</v>
      </c>
    </row>
    <row r="13">
      <c r="A13" s="1">
        <f>IFERROR(__xludf.DUMMYFUNCTION("""COMPUTED_VALUE"""),11.0)</f>
        <v>11</v>
      </c>
      <c r="B13" s="1" t="str">
        <f>IFERROR(__xludf.DUMMYFUNCTION("""COMPUTED_VALUE"""),"Hiroshima")</f>
        <v>Hiroshima</v>
      </c>
      <c r="C13" s="1" t="str">
        <f>IFERROR(__xludf.DUMMYFUNCTION("""COMPUTED_VALUE"""),"広島県")</f>
        <v>広島県</v>
      </c>
      <c r="D13" s="2">
        <f>IFERROR(__xludf.DUMMYFUNCTION("""COMPUTED_VALUE"""),8479.45)</f>
        <v>8479.45</v>
      </c>
      <c r="E13" s="2">
        <f>IFERROR(__xludf.DUMMYFUNCTION("""COMPUTED_VALUE"""),8479.45)</f>
        <v>8479.45</v>
      </c>
      <c r="F13" s="1"/>
      <c r="G13" s="3">
        <f>IFERROR(__xludf.DUMMYFUNCTION("""COMPUTED_VALUE"""),2843990.0)</f>
        <v>2843990</v>
      </c>
      <c r="H13" s="1">
        <f>IFERROR(__xludf.DUMMYFUNCTION("""COMPUTED_VALUE"""),335.4)</f>
        <v>335.4</v>
      </c>
      <c r="I13" s="2">
        <f>IFERROR(__xludf.DUMMYFUNCTION("""COMPUTED_VALUE"""),2310.91)</f>
        <v>2310.91</v>
      </c>
      <c r="J13" s="2">
        <f>IFERROR(__xludf.DUMMYFUNCTION("""COMPUTED_VALUE"""),1230.68)</f>
        <v>1230.68</v>
      </c>
      <c r="K13" s="4">
        <f>IFERROR(__xludf.DUMMYFUNCTION("""COMPUTED_VALUE"""),0.718)</f>
        <v>0.718</v>
      </c>
      <c r="L13" s="1" t="str">
        <f>IFERROR(__xludf.DUMMYFUNCTION("""COMPUTED_VALUE"""),"Hiroshima")</f>
        <v>Hiroshima</v>
      </c>
    </row>
    <row r="14">
      <c r="A14" s="1">
        <f>IFERROR(__xludf.DUMMYFUNCTION("""COMPUTED_VALUE"""),12.0)</f>
        <v>12</v>
      </c>
      <c r="B14" s="1" t="str">
        <f>IFERROR(__xludf.DUMMYFUNCTION("""COMPUTED_VALUE"""),"Hyogo")</f>
        <v>Hyogo</v>
      </c>
      <c r="C14" s="1" t="str">
        <f>IFERROR(__xludf.DUMMYFUNCTION("""COMPUTED_VALUE"""),"兵庫県")</f>
        <v>兵庫県</v>
      </c>
      <c r="D14" s="2">
        <f>IFERROR(__xludf.DUMMYFUNCTION("""COMPUTED_VALUE"""),8400.96)</f>
        <v>8400.96</v>
      </c>
      <c r="E14" s="2">
        <f>IFERROR(__xludf.DUMMYFUNCTION("""COMPUTED_VALUE"""),8400.96)</f>
        <v>8400.96</v>
      </c>
      <c r="F14" s="1"/>
      <c r="G14" s="3">
        <f>IFERROR(__xludf.DUMMYFUNCTION("""COMPUTED_VALUE"""),5534800.0)</f>
        <v>5534800</v>
      </c>
      <c r="H14" s="1">
        <f>IFERROR(__xludf.DUMMYFUNCTION("""COMPUTED_VALUE"""),658.83)</f>
        <v>658.83</v>
      </c>
      <c r="I14" s="2">
        <f>IFERROR(__xludf.DUMMYFUNCTION("""COMPUTED_VALUE"""),2782.95)</f>
        <v>2782.95</v>
      </c>
      <c r="J14" s="2">
        <f>IFERROR(__xludf.DUMMYFUNCTION("""COMPUTED_VALUE"""),1988.82)</f>
        <v>1988.82</v>
      </c>
      <c r="K14" s="4">
        <f>IFERROR(__xludf.DUMMYFUNCTION("""COMPUTED_VALUE"""),0.667)</f>
        <v>0.667</v>
      </c>
      <c r="L14" s="1" t="str">
        <f>IFERROR(__xludf.DUMMYFUNCTION("""COMPUTED_VALUE"""),"Kobe")</f>
        <v>Kobe</v>
      </c>
    </row>
    <row r="15">
      <c r="A15" s="1">
        <f>IFERROR(__xludf.DUMMYFUNCTION("""COMPUTED_VALUE"""),13.0)</f>
        <v>13</v>
      </c>
      <c r="B15" s="1" t="str">
        <f>IFERROR(__xludf.DUMMYFUNCTION("""COMPUTED_VALUE"""),"Shizuoka")</f>
        <v>Shizuoka</v>
      </c>
      <c r="C15" s="1" t="str">
        <f>IFERROR(__xludf.DUMMYFUNCTION("""COMPUTED_VALUE"""),"静岡県")</f>
        <v>静岡県</v>
      </c>
      <c r="D15" s="2">
        <f>IFERROR(__xludf.DUMMYFUNCTION("""COMPUTED_VALUE"""),7777.42)</f>
        <v>7777.42</v>
      </c>
      <c r="E15" s="2">
        <f>IFERROR(__xludf.DUMMYFUNCTION("""COMPUTED_VALUE"""),7252.6)</f>
        <v>7252.6</v>
      </c>
      <c r="F15" s="1">
        <f>IFERROR(__xludf.DUMMYFUNCTION("""COMPUTED_VALUE"""),524.82)</f>
        <v>524.82</v>
      </c>
      <c r="G15" s="3">
        <f>IFERROR(__xludf.DUMMYFUNCTION("""COMPUTED_VALUE"""),3700305.0)</f>
        <v>3700305</v>
      </c>
      <c r="H15" s="1">
        <f>IFERROR(__xludf.DUMMYFUNCTION("""COMPUTED_VALUE"""),475.78)</f>
        <v>475.78</v>
      </c>
      <c r="I15" s="2">
        <f>IFERROR(__xludf.DUMMYFUNCTION("""COMPUTED_VALUE"""),2749.49)</f>
        <v>2749.49</v>
      </c>
      <c r="J15" s="2">
        <f>IFERROR(__xludf.DUMMYFUNCTION("""COMPUTED_VALUE"""),1345.82)</f>
        <v>1345.82</v>
      </c>
      <c r="K15" s="4">
        <f>IFERROR(__xludf.DUMMYFUNCTION("""COMPUTED_VALUE"""),0.631)</f>
        <v>0.631</v>
      </c>
      <c r="L15" s="1" t="str">
        <f>IFERROR(__xludf.DUMMYFUNCTION("""COMPUTED_VALUE"""),"Shizuoka")</f>
        <v>Shizuoka</v>
      </c>
    </row>
    <row r="16">
      <c r="A16" s="1">
        <f>IFERROR(__xludf.DUMMYFUNCTION("""COMPUTED_VALUE"""),14.0)</f>
        <v>14</v>
      </c>
      <c r="B16" s="1" t="str">
        <f>IFERROR(__xludf.DUMMYFUNCTION("""COMPUTED_VALUE"""),"Miyazaki")</f>
        <v>Miyazaki</v>
      </c>
      <c r="C16" s="1" t="str">
        <f>IFERROR(__xludf.DUMMYFUNCTION("""COMPUTED_VALUE"""),"宮崎県")</f>
        <v>宮崎県</v>
      </c>
      <c r="D16" s="2">
        <f>IFERROR(__xludf.DUMMYFUNCTION("""COMPUTED_VALUE"""),7735.31)</f>
        <v>7735.31</v>
      </c>
      <c r="E16" s="2">
        <f>IFERROR(__xludf.DUMMYFUNCTION("""COMPUTED_VALUE"""),6794.24)</f>
        <v>6794.24</v>
      </c>
      <c r="F16" s="1">
        <f>IFERROR(__xludf.DUMMYFUNCTION("""COMPUTED_VALUE"""),941.07)</f>
        <v>941.07</v>
      </c>
      <c r="G16" s="3">
        <f>IFERROR(__xludf.DUMMYFUNCTION("""COMPUTED_VALUE"""),1104069.0)</f>
        <v>1104069</v>
      </c>
      <c r="H16" s="1">
        <f>IFERROR(__xludf.DUMMYFUNCTION("""COMPUTED_VALUE"""),142.73)</f>
        <v>142.73</v>
      </c>
      <c r="I16" s="2">
        <f>IFERROR(__xludf.DUMMYFUNCTION("""COMPUTED_VALUE"""),1849.87)</f>
        <v>1849.87</v>
      </c>
      <c r="J16" s="1">
        <f>IFERROR(__xludf.DUMMYFUNCTION("""COMPUTED_VALUE"""),596.84)</f>
        <v>596.84</v>
      </c>
      <c r="K16" s="4">
        <f>IFERROR(__xludf.DUMMYFUNCTION("""COMPUTED_VALUE"""),0.758)</f>
        <v>0.758</v>
      </c>
      <c r="L16" s="1" t="str">
        <f>IFERROR(__xludf.DUMMYFUNCTION("""COMPUTED_VALUE"""),"Miyazaki")</f>
        <v>Miyazaki</v>
      </c>
    </row>
    <row r="17">
      <c r="A17" s="1">
        <f>IFERROR(__xludf.DUMMYFUNCTION("""COMPUTED_VALUE"""),15.0)</f>
        <v>15</v>
      </c>
      <c r="B17" s="1" t="str">
        <f>IFERROR(__xludf.DUMMYFUNCTION("""COMPUTED_VALUE"""),"Kumamoto")</f>
        <v>Kumamoto</v>
      </c>
      <c r="C17" s="1" t="str">
        <f>IFERROR(__xludf.DUMMYFUNCTION("""COMPUTED_VALUE"""),"熊本県")</f>
        <v>熊本県</v>
      </c>
      <c r="D17" s="2">
        <f>IFERROR(__xludf.DUMMYFUNCTION("""COMPUTED_VALUE"""),7409.35)</f>
        <v>7409.35</v>
      </c>
      <c r="E17" s="2">
        <f>IFERROR(__xludf.DUMMYFUNCTION("""COMPUTED_VALUE"""),7272.41)</f>
        <v>7272.41</v>
      </c>
      <c r="F17" s="1">
        <f>IFERROR(__xludf.DUMMYFUNCTION("""COMPUTED_VALUE"""),136.94)</f>
        <v>136.94</v>
      </c>
      <c r="G17" s="3">
        <f>IFERROR(__xludf.DUMMYFUNCTION("""COMPUTED_VALUE"""),1786170.0)</f>
        <v>1786170</v>
      </c>
      <c r="H17" s="1">
        <f>IFERROR(__xludf.DUMMYFUNCTION("""COMPUTED_VALUE"""),241.07)</f>
        <v>241.07</v>
      </c>
      <c r="I17" s="2">
        <f>IFERROR(__xludf.DUMMYFUNCTION("""COMPUTED_VALUE"""),2796.13)</f>
        <v>2796.13</v>
      </c>
      <c r="J17" s="1">
        <f>IFERROR(__xludf.DUMMYFUNCTION("""COMPUTED_VALUE"""),638.8)</f>
        <v>638.8</v>
      </c>
      <c r="K17" s="4">
        <f>IFERROR(__xludf.DUMMYFUNCTION("""COMPUTED_VALUE"""),0.604)</f>
        <v>0.604</v>
      </c>
      <c r="L17" s="1" t="str">
        <f>IFERROR(__xludf.DUMMYFUNCTION("""COMPUTED_VALUE"""),"Kumamoto")</f>
        <v>Kumamoto</v>
      </c>
    </row>
    <row r="18">
      <c r="A18" s="1">
        <f>IFERROR(__xludf.DUMMYFUNCTION("""COMPUTED_VALUE"""),16.0)</f>
        <v>16</v>
      </c>
      <c r="B18" s="1" t="str">
        <f>IFERROR(__xludf.DUMMYFUNCTION("""COMPUTED_VALUE"""),"Miyagi")</f>
        <v>Miyagi</v>
      </c>
      <c r="C18" s="1" t="str">
        <f>IFERROR(__xludf.DUMMYFUNCTION("""COMPUTED_VALUE"""),"宮城県")</f>
        <v>宮城県</v>
      </c>
      <c r="D18" s="2">
        <f>IFERROR(__xludf.DUMMYFUNCTION("""COMPUTED_VALUE"""),7282.22)</f>
        <v>7282.22</v>
      </c>
      <c r="E18" s="2">
        <f>IFERROR(__xludf.DUMMYFUNCTION("""COMPUTED_VALUE"""),6858.62)</f>
        <v>6858.62</v>
      </c>
      <c r="F18" s="1">
        <f>IFERROR(__xludf.DUMMYFUNCTION("""COMPUTED_VALUE"""),423.6)</f>
        <v>423.6</v>
      </c>
      <c r="G18" s="3">
        <f>IFERROR(__xludf.DUMMYFUNCTION("""COMPUTED_VALUE"""),2333899.0)</f>
        <v>2333899</v>
      </c>
      <c r="H18" s="1">
        <f>IFERROR(__xludf.DUMMYFUNCTION("""COMPUTED_VALUE"""),320.49)</f>
        <v>320.49</v>
      </c>
      <c r="I18" s="2">
        <f>IFERROR(__xludf.DUMMYFUNCTION("""COMPUTED_VALUE"""),3154.83)</f>
        <v>3154.83</v>
      </c>
      <c r="J18" s="1">
        <f>IFERROR(__xludf.DUMMYFUNCTION("""COMPUTED_VALUE"""),739.79)</f>
        <v>739.79</v>
      </c>
      <c r="K18" s="4">
        <f>IFERROR(__xludf.DUMMYFUNCTION("""COMPUTED_VALUE"""),0.559)</f>
        <v>0.559</v>
      </c>
      <c r="L18" s="1" t="str">
        <f>IFERROR(__xludf.DUMMYFUNCTION("""COMPUTED_VALUE"""),"Sendai")</f>
        <v>Sendai</v>
      </c>
    </row>
    <row r="19">
      <c r="A19" s="1">
        <f>IFERROR(__xludf.DUMMYFUNCTION("""COMPUTED_VALUE"""),17.0)</f>
        <v>17</v>
      </c>
      <c r="B19" s="1" t="str">
        <f>IFERROR(__xludf.DUMMYFUNCTION("""COMPUTED_VALUE"""),"Okayama")</f>
        <v>Okayama</v>
      </c>
      <c r="C19" s="1" t="str">
        <f>IFERROR(__xludf.DUMMYFUNCTION("""COMPUTED_VALUE"""),"岡山県")</f>
        <v>岡山県</v>
      </c>
      <c r="D19" s="2">
        <f>IFERROR(__xludf.DUMMYFUNCTION("""COMPUTED_VALUE"""),7114.5)</f>
        <v>7114.5</v>
      </c>
      <c r="E19" s="2">
        <f>IFERROR(__xludf.DUMMYFUNCTION("""COMPUTED_VALUE"""),7010.92)</f>
        <v>7010.92</v>
      </c>
      <c r="F19" s="1">
        <f>IFERROR(__xludf.DUMMYFUNCTION("""COMPUTED_VALUE"""),103.58)</f>
        <v>103.58</v>
      </c>
      <c r="G19" s="3">
        <f>IFERROR(__xludf.DUMMYFUNCTION("""COMPUTED_VALUE"""),1921525.0)</f>
        <v>1921525</v>
      </c>
      <c r="H19" s="1">
        <f>IFERROR(__xludf.DUMMYFUNCTION("""COMPUTED_VALUE"""),270.09)</f>
        <v>270.09</v>
      </c>
      <c r="I19" s="2">
        <f>IFERROR(__xludf.DUMMYFUNCTION("""COMPUTED_VALUE"""),2218.89)</f>
        <v>2218.89</v>
      </c>
      <c r="J19" s="1">
        <f>IFERROR(__xludf.DUMMYFUNCTION("""COMPUTED_VALUE"""),865.98)</f>
        <v>865.98</v>
      </c>
      <c r="K19" s="4">
        <f>IFERROR(__xludf.DUMMYFUNCTION("""COMPUTED_VALUE"""),0.68)</f>
        <v>0.68</v>
      </c>
      <c r="L19" s="1" t="str">
        <f>IFERROR(__xludf.DUMMYFUNCTION("""COMPUTED_VALUE"""),"Okayama")</f>
        <v>Okayama</v>
      </c>
    </row>
    <row r="20">
      <c r="A20" s="1">
        <f>IFERROR(__xludf.DUMMYFUNCTION("""COMPUTED_VALUE"""),18.0)</f>
        <v>18</v>
      </c>
      <c r="B20" s="1" t="str">
        <f>IFERROR(__xludf.DUMMYFUNCTION("""COMPUTED_VALUE"""),"Kochi")</f>
        <v>Kochi</v>
      </c>
      <c r="C20" s="1" t="str">
        <f>IFERROR(__xludf.DUMMYFUNCTION("""COMPUTED_VALUE"""),"高知県")</f>
        <v>高知県</v>
      </c>
      <c r="D20" s="2">
        <f>IFERROR(__xludf.DUMMYFUNCTION("""COMPUTED_VALUE"""),7103.93)</f>
        <v>7103.93</v>
      </c>
      <c r="E20" s="2">
        <f>IFERROR(__xludf.DUMMYFUNCTION("""COMPUTED_VALUE"""),7103.93)</f>
        <v>7103.93</v>
      </c>
      <c r="F20" s="1"/>
      <c r="G20" s="3">
        <f>IFERROR(__xludf.DUMMYFUNCTION("""COMPUTED_VALUE"""),728276.0)</f>
        <v>728276</v>
      </c>
      <c r="H20" s="1">
        <f>IFERROR(__xludf.DUMMYFUNCTION("""COMPUTED_VALUE"""),102.52)</f>
        <v>102.52</v>
      </c>
      <c r="I20" s="2">
        <f>IFERROR(__xludf.DUMMYFUNCTION("""COMPUTED_VALUE"""),1163.18)</f>
        <v>1163.18</v>
      </c>
      <c r="J20" s="1">
        <f>IFERROR(__xludf.DUMMYFUNCTION("""COMPUTED_VALUE"""),626.11)</f>
        <v>626.11</v>
      </c>
      <c r="K20" s="4">
        <f>IFERROR(__xludf.DUMMYFUNCTION("""COMPUTED_VALUE"""),0.833)</f>
        <v>0.833</v>
      </c>
      <c r="L20" s="1" t="str">
        <f>IFERROR(__xludf.DUMMYFUNCTION("""COMPUTED_VALUE"""),"Kōchi")</f>
        <v>Kōchi</v>
      </c>
    </row>
    <row r="21">
      <c r="A21" s="1">
        <f>IFERROR(__xludf.DUMMYFUNCTION("""COMPUTED_VALUE"""),19.0)</f>
        <v>19</v>
      </c>
      <c r="B21" s="1" t="str">
        <f>IFERROR(__xludf.DUMMYFUNCTION("""COMPUTED_VALUE"""),"Shimane")</f>
        <v>Shimane</v>
      </c>
      <c r="C21" s="1" t="str">
        <f>IFERROR(__xludf.DUMMYFUNCTION("""COMPUTED_VALUE"""),"島根県")</f>
        <v>島根県</v>
      </c>
      <c r="D21" s="2">
        <f>IFERROR(__xludf.DUMMYFUNCTION("""COMPUTED_VALUE"""),6708.24)</f>
        <v>6708.24</v>
      </c>
      <c r="E21" s="2">
        <f>IFERROR(__xludf.DUMMYFUNCTION("""COMPUTED_VALUE"""),6708.24)</f>
        <v>6708.24</v>
      </c>
      <c r="F21" s="1"/>
      <c r="G21" s="3">
        <f>IFERROR(__xludf.DUMMYFUNCTION("""COMPUTED_VALUE"""),694352.0)</f>
        <v>694352</v>
      </c>
      <c r="H21" s="1">
        <f>IFERROR(__xludf.DUMMYFUNCTION("""COMPUTED_VALUE"""),103.51)</f>
        <v>103.51</v>
      </c>
      <c r="I21" s="2">
        <f>IFERROR(__xludf.DUMMYFUNCTION("""COMPUTED_VALUE"""),1298.92)</f>
        <v>1298.92</v>
      </c>
      <c r="J21" s="1">
        <f>IFERROR(__xludf.DUMMYFUNCTION("""COMPUTED_VALUE"""),534.56)</f>
        <v>534.56</v>
      </c>
      <c r="K21" s="4">
        <f>IFERROR(__xludf.DUMMYFUNCTION("""COMPUTED_VALUE"""),0.775)</f>
        <v>0.775</v>
      </c>
      <c r="L21" s="1" t="str">
        <f>IFERROR(__xludf.DUMMYFUNCTION("""COMPUTED_VALUE"""),"Matsue")</f>
        <v>Matsue</v>
      </c>
    </row>
    <row r="22">
      <c r="A22" s="1">
        <f>IFERROR(__xludf.DUMMYFUNCTION("""COMPUTED_VALUE"""),20.0)</f>
        <v>20</v>
      </c>
      <c r="B22" s="1" t="str">
        <f>IFERROR(__xludf.DUMMYFUNCTION("""COMPUTED_VALUE"""),"Tochigi")</f>
        <v>Tochigi</v>
      </c>
      <c r="C22" s="1" t="str">
        <f>IFERROR(__xludf.DUMMYFUNCTION("""COMPUTED_VALUE"""),"栃木県")</f>
        <v>栃木県</v>
      </c>
      <c r="D22" s="2">
        <f>IFERROR(__xludf.DUMMYFUNCTION("""COMPUTED_VALUE"""),6408.09)</f>
        <v>6408.09</v>
      </c>
      <c r="E22" s="2">
        <f>IFERROR(__xludf.DUMMYFUNCTION("""COMPUTED_VALUE"""),6408.09)</f>
        <v>6408.09</v>
      </c>
      <c r="F22" s="1"/>
      <c r="G22" s="3">
        <f>IFERROR(__xludf.DUMMYFUNCTION("""COMPUTED_VALUE"""),1974255.0)</f>
        <v>1974255</v>
      </c>
      <c r="H22" s="1">
        <f>IFERROR(__xludf.DUMMYFUNCTION("""COMPUTED_VALUE"""),308.09)</f>
        <v>308.09</v>
      </c>
      <c r="I22" s="2">
        <f>IFERROR(__xludf.DUMMYFUNCTION("""COMPUTED_VALUE"""),2982.76)</f>
        <v>2982.76</v>
      </c>
      <c r="J22" s="1">
        <f>IFERROR(__xludf.DUMMYFUNCTION("""COMPUTED_VALUE"""),661.89)</f>
        <v>661.89</v>
      </c>
      <c r="K22" s="4">
        <f>IFERROR(__xludf.DUMMYFUNCTION("""COMPUTED_VALUE"""),0.532)</f>
        <v>0.532</v>
      </c>
      <c r="L22" s="1" t="str">
        <f>IFERROR(__xludf.DUMMYFUNCTION("""COMPUTED_VALUE"""),"Utsunomiya")</f>
        <v>Utsunomiya</v>
      </c>
    </row>
    <row r="23">
      <c r="A23" s="1">
        <f>IFERROR(__xludf.DUMMYFUNCTION("""COMPUTED_VALUE"""),21.0)</f>
        <v>21</v>
      </c>
      <c r="B23" s="1" t="str">
        <f>IFERROR(__xludf.DUMMYFUNCTION("""COMPUTED_VALUE"""),"Gunma")</f>
        <v>Gunma</v>
      </c>
      <c r="C23" s="1" t="str">
        <f>IFERROR(__xludf.DUMMYFUNCTION("""COMPUTED_VALUE"""),"群馬県")</f>
        <v>群馬県</v>
      </c>
      <c r="D23" s="2">
        <f>IFERROR(__xludf.DUMMYFUNCTION("""COMPUTED_VALUE"""),6362.28)</f>
        <v>6362.28</v>
      </c>
      <c r="E23" s="2">
        <f>IFERROR(__xludf.DUMMYFUNCTION("""COMPUTED_VALUE"""),6362.28)</f>
        <v>6362.28</v>
      </c>
      <c r="F23" s="1"/>
      <c r="G23" s="3">
        <f>IFERROR(__xludf.DUMMYFUNCTION("""COMPUTED_VALUE"""),1973115.0)</f>
        <v>1973115</v>
      </c>
      <c r="H23" s="1">
        <f>IFERROR(__xludf.DUMMYFUNCTION("""COMPUTED_VALUE"""),310.13)</f>
        <v>310.13</v>
      </c>
      <c r="I23" s="2">
        <f>IFERROR(__xludf.DUMMYFUNCTION("""COMPUTED_VALUE"""),2279.36)</f>
        <v>2279.36</v>
      </c>
      <c r="J23" s="1">
        <f>IFERROR(__xludf.DUMMYFUNCTION("""COMPUTED_VALUE"""),865.64)</f>
        <v>865.64</v>
      </c>
      <c r="K23" s="4">
        <f>IFERROR(__xludf.DUMMYFUNCTION("""COMPUTED_VALUE"""),0.638)</f>
        <v>0.638</v>
      </c>
      <c r="L23" s="1" t="str">
        <f>IFERROR(__xludf.DUMMYFUNCTION("""COMPUTED_VALUE"""),"Maebashi")</f>
        <v>Maebashi</v>
      </c>
    </row>
    <row r="24">
      <c r="A24" s="1">
        <f>IFERROR(__xludf.DUMMYFUNCTION("""COMPUTED_VALUE"""),22.0)</f>
        <v>22</v>
      </c>
      <c r="B24" s="1" t="str">
        <f>IFERROR(__xludf.DUMMYFUNCTION("""COMPUTED_VALUE"""),"Oita")</f>
        <v>Oita</v>
      </c>
      <c r="C24" s="1" t="str">
        <f>IFERROR(__xludf.DUMMYFUNCTION("""COMPUTED_VALUE"""),"大分県")</f>
        <v>大分県</v>
      </c>
      <c r="D24" s="2">
        <f>IFERROR(__xludf.DUMMYFUNCTION("""COMPUTED_VALUE"""),6340.71)</f>
        <v>6340.71</v>
      </c>
      <c r="E24" s="2">
        <f>IFERROR(__xludf.DUMMYFUNCTION("""COMPUTED_VALUE"""),5100.28)</f>
        <v>5100.28</v>
      </c>
      <c r="F24" s="2">
        <f>IFERROR(__xludf.DUMMYFUNCTION("""COMPUTED_VALUE"""),1240.43)</f>
        <v>1240.43</v>
      </c>
      <c r="G24" s="3">
        <f>IFERROR(__xludf.DUMMYFUNCTION("""COMPUTED_VALUE"""),1166338.0)</f>
        <v>1166338</v>
      </c>
      <c r="H24" s="1">
        <f>IFERROR(__xludf.DUMMYFUNCTION("""COMPUTED_VALUE"""),183.94)</f>
        <v>183.94</v>
      </c>
      <c r="I24" s="2">
        <f>IFERROR(__xludf.DUMMYFUNCTION("""COMPUTED_VALUE"""),1798.91)</f>
        <v>1798.91</v>
      </c>
      <c r="J24" s="1">
        <f>IFERROR(__xludf.DUMMYFUNCTION("""COMPUTED_VALUE"""),648.36)</f>
        <v>648.36</v>
      </c>
      <c r="K24" s="4">
        <f>IFERROR(__xludf.DUMMYFUNCTION("""COMPUTED_VALUE"""),0.706)</f>
        <v>0.706</v>
      </c>
      <c r="L24" s="1" t="str">
        <f>IFERROR(__xludf.DUMMYFUNCTION("""COMPUTED_VALUE"""),"Oita")</f>
        <v>Oita</v>
      </c>
    </row>
    <row r="25">
      <c r="A25" s="1">
        <f>IFERROR(__xludf.DUMMYFUNCTION("""COMPUTED_VALUE"""),23.0)</f>
        <v>23</v>
      </c>
      <c r="B25" s="1" t="str">
        <f>IFERROR(__xludf.DUMMYFUNCTION("""COMPUTED_VALUE"""),"Yamaguchi")</f>
        <v>Yamaguchi</v>
      </c>
      <c r="C25" s="1" t="str">
        <f>IFERROR(__xludf.DUMMYFUNCTION("""COMPUTED_VALUE"""),"山口県")</f>
        <v>山口県</v>
      </c>
      <c r="D25" s="2">
        <f>IFERROR(__xludf.DUMMYFUNCTION("""COMPUTED_VALUE"""),6112.3)</f>
        <v>6112.3</v>
      </c>
      <c r="E25" s="2">
        <f>IFERROR(__xludf.DUMMYFUNCTION("""COMPUTED_VALUE"""),6112.3)</f>
        <v>6112.3</v>
      </c>
      <c r="F25" s="1"/>
      <c r="G25" s="3">
        <f>IFERROR(__xludf.DUMMYFUNCTION("""COMPUTED_VALUE"""),1404729.0)</f>
        <v>1404729</v>
      </c>
      <c r="H25" s="1">
        <f>IFERROR(__xludf.DUMMYFUNCTION("""COMPUTED_VALUE"""),229.82)</f>
        <v>229.82</v>
      </c>
      <c r="I25" s="2">
        <f>IFERROR(__xludf.DUMMYFUNCTION("""COMPUTED_VALUE"""),1706.74)</f>
        <v>1706.74</v>
      </c>
      <c r="J25" s="1">
        <f>IFERROR(__xludf.DUMMYFUNCTION("""COMPUTED_VALUE"""),823.05)</f>
        <v>823.05</v>
      </c>
      <c r="K25" s="4">
        <f>IFERROR(__xludf.DUMMYFUNCTION("""COMPUTED_VALUE"""),0.716)</f>
        <v>0.716</v>
      </c>
      <c r="L25" s="1" t="str">
        <f>IFERROR(__xludf.DUMMYFUNCTION("""COMPUTED_VALUE"""),"Yamaguchi")</f>
        <v>Yamaguchi</v>
      </c>
    </row>
    <row r="26">
      <c r="A26" s="1">
        <f>IFERROR(__xludf.DUMMYFUNCTION("""COMPUTED_VALUE"""),24.0)</f>
        <v>24</v>
      </c>
      <c r="B26" s="1" t="str">
        <f>IFERROR(__xludf.DUMMYFUNCTION("""COMPUTED_VALUE"""),"Ibaraki")</f>
        <v>Ibaraki</v>
      </c>
      <c r="C26" s="1" t="str">
        <f>IFERROR(__xludf.DUMMYFUNCTION("""COMPUTED_VALUE"""),"茨城県")</f>
        <v>茨城県</v>
      </c>
      <c r="D26" s="2">
        <f>IFERROR(__xludf.DUMMYFUNCTION("""COMPUTED_VALUE"""),6097.06)</f>
        <v>6097.06</v>
      </c>
      <c r="E26" s="2">
        <f>IFERROR(__xludf.DUMMYFUNCTION("""COMPUTED_VALUE"""),6097.06)</f>
        <v>6097.06</v>
      </c>
      <c r="F26" s="1"/>
      <c r="G26" s="3">
        <f>IFERROR(__xludf.DUMMYFUNCTION("""COMPUTED_VALUE"""),2916976.0)</f>
        <v>2916976</v>
      </c>
      <c r="H26" s="1">
        <f>IFERROR(__xludf.DUMMYFUNCTION("""COMPUTED_VALUE"""),478.42)</f>
        <v>478.42</v>
      </c>
      <c r="I26" s="2">
        <f>IFERROR(__xludf.DUMMYFUNCTION("""COMPUTED_VALUE"""),3974.86)</f>
        <v>3974.86</v>
      </c>
      <c r="J26" s="1">
        <f>IFERROR(__xludf.DUMMYFUNCTION("""COMPUTED_VALUE"""),733.86)</f>
        <v>733.86</v>
      </c>
      <c r="K26" s="4">
        <f>IFERROR(__xludf.DUMMYFUNCTION("""COMPUTED_VALUE"""),0.31)</f>
        <v>0.31</v>
      </c>
      <c r="L26" s="1" t="str">
        <f>IFERROR(__xludf.DUMMYFUNCTION("""COMPUTED_VALUE"""),"Mito")</f>
        <v>Mito</v>
      </c>
    </row>
    <row r="27">
      <c r="A27" s="1">
        <f>IFERROR(__xludf.DUMMYFUNCTION("""COMPUTED_VALUE"""),25.0)</f>
        <v>25</v>
      </c>
      <c r="B27" s="1" t="str">
        <f>IFERROR(__xludf.DUMMYFUNCTION("""COMPUTED_VALUE"""),"Mie")</f>
        <v>Mie</v>
      </c>
      <c r="C27" s="1" t="str">
        <f>IFERROR(__xludf.DUMMYFUNCTION("""COMPUTED_VALUE"""),"三重県")</f>
        <v>三重県</v>
      </c>
      <c r="D27" s="2">
        <f>IFERROR(__xludf.DUMMYFUNCTION("""COMPUTED_VALUE"""),5774.4)</f>
        <v>5774.4</v>
      </c>
      <c r="E27" s="2">
        <f>IFERROR(__xludf.DUMMYFUNCTION("""COMPUTED_VALUE"""),5758.66)</f>
        <v>5758.66</v>
      </c>
      <c r="F27" s="1">
        <f>IFERROR(__xludf.DUMMYFUNCTION("""COMPUTED_VALUE"""),15.74)</f>
        <v>15.74</v>
      </c>
      <c r="G27" s="3">
        <f>IFERROR(__xludf.DUMMYFUNCTION("""COMPUTED_VALUE"""),1815865.0)</f>
        <v>1815865</v>
      </c>
      <c r="H27" s="1">
        <f>IFERROR(__xludf.DUMMYFUNCTION("""COMPUTED_VALUE"""),314.47)</f>
        <v>314.47</v>
      </c>
      <c r="I27" s="2">
        <f>IFERROR(__xludf.DUMMYFUNCTION("""COMPUTED_VALUE"""),2059.17)</f>
        <v>2059.17</v>
      </c>
      <c r="J27" s="1">
        <f>IFERROR(__xludf.DUMMYFUNCTION("""COMPUTED_VALUE"""),881.84)</f>
        <v>881.84</v>
      </c>
      <c r="K27" s="4">
        <f>IFERROR(__xludf.DUMMYFUNCTION("""COMPUTED_VALUE"""),0.643)</f>
        <v>0.643</v>
      </c>
      <c r="L27" s="1" t="str">
        <f>IFERROR(__xludf.DUMMYFUNCTION("""COMPUTED_VALUE"""),"Tsu")</f>
        <v>Tsu</v>
      </c>
    </row>
    <row r="28">
      <c r="A28" s="1">
        <f>IFERROR(__xludf.DUMMYFUNCTION("""COMPUTED_VALUE"""),26.0)</f>
        <v>26</v>
      </c>
      <c r="B28" s="1" t="str">
        <f>IFERROR(__xludf.DUMMYFUNCTION("""COMPUTED_VALUE"""),"Ehime")</f>
        <v>Ehime</v>
      </c>
      <c r="C28" s="1" t="str">
        <f>IFERROR(__xludf.DUMMYFUNCTION("""COMPUTED_VALUE"""),"愛媛県")</f>
        <v>愛媛県</v>
      </c>
      <c r="D28" s="2">
        <f>IFERROR(__xludf.DUMMYFUNCTION("""COMPUTED_VALUE"""),5676.11)</f>
        <v>5676.11</v>
      </c>
      <c r="E28" s="2">
        <f>IFERROR(__xludf.DUMMYFUNCTION("""COMPUTED_VALUE"""),5676.11)</f>
        <v>5676.11</v>
      </c>
      <c r="F28" s="1"/>
      <c r="G28" s="3">
        <f>IFERROR(__xludf.DUMMYFUNCTION("""COMPUTED_VALUE"""),1385262.0)</f>
        <v>1385262</v>
      </c>
      <c r="H28" s="1">
        <f>IFERROR(__xludf.DUMMYFUNCTION("""COMPUTED_VALUE"""),244.05)</f>
        <v>244.05</v>
      </c>
      <c r="I28" s="2">
        <f>IFERROR(__xludf.DUMMYFUNCTION("""COMPUTED_VALUE"""),1673.14)</f>
        <v>1673.14</v>
      </c>
      <c r="J28" s="1">
        <f>IFERROR(__xludf.DUMMYFUNCTION("""COMPUTED_VALUE"""),827.94)</f>
        <v>827.94</v>
      </c>
      <c r="K28" s="4">
        <f>IFERROR(__xludf.DUMMYFUNCTION("""COMPUTED_VALUE"""),0.703)</f>
        <v>0.703</v>
      </c>
      <c r="L28" s="1" t="str">
        <f>IFERROR(__xludf.DUMMYFUNCTION("""COMPUTED_VALUE"""),"Matsuyama")</f>
        <v>Matsuyama</v>
      </c>
    </row>
    <row r="29">
      <c r="A29" s="1">
        <f>IFERROR(__xludf.DUMMYFUNCTION("""COMPUTED_VALUE"""),27.0)</f>
        <v>27</v>
      </c>
      <c r="B29" s="1" t="str">
        <f>IFERROR(__xludf.DUMMYFUNCTION("""COMPUTED_VALUE"""),"Aichi")</f>
        <v>Aichi</v>
      </c>
      <c r="C29" s="1" t="str">
        <f>IFERROR(__xludf.DUMMYFUNCTION("""COMPUTED_VALUE"""),"愛知県")</f>
        <v>愛知県</v>
      </c>
      <c r="D29" s="2">
        <f>IFERROR(__xludf.DUMMYFUNCTION("""COMPUTED_VALUE"""),5172.48)</f>
        <v>5172.48</v>
      </c>
      <c r="E29" s="2">
        <f>IFERROR(__xludf.DUMMYFUNCTION("""COMPUTED_VALUE"""),5123.48)</f>
        <v>5123.48</v>
      </c>
      <c r="F29" s="1">
        <f>IFERROR(__xludf.DUMMYFUNCTION("""COMPUTED_VALUE"""),49.0)</f>
        <v>49</v>
      </c>
      <c r="G29" s="3">
        <f>IFERROR(__xludf.DUMMYFUNCTION("""COMPUTED_VALUE"""),7483128.0)</f>
        <v>7483128</v>
      </c>
      <c r="H29" s="2">
        <f>IFERROR(__xludf.DUMMYFUNCTION("""COMPUTED_VALUE"""),1446.72)</f>
        <v>1446.72</v>
      </c>
      <c r="I29" s="2">
        <f>IFERROR(__xludf.DUMMYFUNCTION("""COMPUTED_VALUE"""),2987.77)</f>
        <v>2987.77</v>
      </c>
      <c r="J29" s="2">
        <f>IFERROR(__xludf.DUMMYFUNCTION("""COMPUTED_VALUE"""),2504.59)</f>
        <v>2504.59</v>
      </c>
      <c r="K29" s="4">
        <f>IFERROR(__xludf.DUMMYFUNCTION("""COMPUTED_VALUE"""),0.422)</f>
        <v>0.422</v>
      </c>
      <c r="L29" s="1" t="str">
        <f>IFERROR(__xludf.DUMMYFUNCTION("""COMPUTED_VALUE"""),"Nagoya")</f>
        <v>Nagoya</v>
      </c>
    </row>
    <row r="30">
      <c r="A30" s="1">
        <f>IFERROR(__xludf.DUMMYFUNCTION("""COMPUTED_VALUE"""),28.0)</f>
        <v>28</v>
      </c>
      <c r="B30" s="1" t="str">
        <f>IFERROR(__xludf.DUMMYFUNCTION("""COMPUTED_VALUE"""),"Chiba")</f>
        <v>Chiba</v>
      </c>
      <c r="C30" s="1" t="str">
        <f>IFERROR(__xludf.DUMMYFUNCTION("""COMPUTED_VALUE"""),"千葉県")</f>
        <v>千葉県</v>
      </c>
      <c r="D30" s="2">
        <f>IFERROR(__xludf.DUMMYFUNCTION("""COMPUTED_VALUE"""),5157.65)</f>
        <v>5157.65</v>
      </c>
      <c r="E30" s="2">
        <f>IFERROR(__xludf.DUMMYFUNCTION("""COMPUTED_VALUE"""),5082.9)</f>
        <v>5082.9</v>
      </c>
      <c r="F30" s="1">
        <f>IFERROR(__xludf.DUMMYFUNCTION("""COMPUTED_VALUE"""),74.75)</f>
        <v>74.75</v>
      </c>
      <c r="G30" s="3">
        <f>IFERROR(__xludf.DUMMYFUNCTION("""COMPUTED_VALUE"""),6222666.0)</f>
        <v>6222666</v>
      </c>
      <c r="H30" s="2">
        <f>IFERROR(__xludf.DUMMYFUNCTION("""COMPUTED_VALUE"""),1206.49)</f>
        <v>1206.49</v>
      </c>
      <c r="I30" s="2">
        <f>IFERROR(__xludf.DUMMYFUNCTION("""COMPUTED_VALUE"""),3554.37)</f>
        <v>3554.37</v>
      </c>
      <c r="J30" s="2">
        <f>IFERROR(__xludf.DUMMYFUNCTION("""COMPUTED_VALUE"""),1750.71)</f>
        <v>1750.71</v>
      </c>
      <c r="K30" s="4">
        <f>IFERROR(__xludf.DUMMYFUNCTION("""COMPUTED_VALUE"""),0.304)</f>
        <v>0.304</v>
      </c>
      <c r="L30" s="1" t="str">
        <f>IFERROR(__xludf.DUMMYFUNCTION("""COMPUTED_VALUE"""),"Chiba")</f>
        <v>Chiba</v>
      </c>
    </row>
    <row r="31">
      <c r="A31" s="1">
        <f>IFERROR(__xludf.DUMMYFUNCTION("""COMPUTED_VALUE"""),29.0)</f>
        <v>29</v>
      </c>
      <c r="B31" s="1" t="str">
        <f>IFERROR(__xludf.DUMMYFUNCTION("""COMPUTED_VALUE"""),"Fukuoka")</f>
        <v>Fukuoka</v>
      </c>
      <c r="C31" s="1" t="str">
        <f>IFERROR(__xludf.DUMMYFUNCTION("""COMPUTED_VALUE"""),"福岡県")</f>
        <v>福岡県</v>
      </c>
      <c r="D31" s="2">
        <f>IFERROR(__xludf.DUMMYFUNCTION("""COMPUTED_VALUE"""),4986.4)</f>
        <v>4986.4</v>
      </c>
      <c r="E31" s="2">
        <f>IFERROR(__xludf.DUMMYFUNCTION("""COMPUTED_VALUE"""),4854.2)</f>
        <v>4854.2</v>
      </c>
      <c r="F31" s="1">
        <f>IFERROR(__xludf.DUMMYFUNCTION("""COMPUTED_VALUE"""),132.2)</f>
        <v>132.2</v>
      </c>
      <c r="G31" s="3">
        <f>IFERROR(__xludf.DUMMYFUNCTION("""COMPUTED_VALUE"""),5101556.0)</f>
        <v>5101556</v>
      </c>
      <c r="H31" s="2">
        <f>IFERROR(__xludf.DUMMYFUNCTION("""COMPUTED_VALUE"""),1023.09)</f>
        <v>1023.09</v>
      </c>
      <c r="I31" s="2">
        <f>IFERROR(__xludf.DUMMYFUNCTION("""COMPUTED_VALUE"""),2761.41)</f>
        <v>2761.41</v>
      </c>
      <c r="J31" s="2">
        <f>IFERROR(__xludf.DUMMYFUNCTION("""COMPUTED_VALUE"""),1847.45)</f>
        <v>1847.45</v>
      </c>
      <c r="K31" s="4">
        <f>IFERROR(__xludf.DUMMYFUNCTION("""COMPUTED_VALUE"""),0.445)</f>
        <v>0.445</v>
      </c>
      <c r="L31" s="1" t="str">
        <f>IFERROR(__xludf.DUMMYFUNCTION("""COMPUTED_VALUE"""),"Fukuoka")</f>
        <v>Fukuoka</v>
      </c>
    </row>
    <row r="32">
      <c r="A32" s="1">
        <f>IFERROR(__xludf.DUMMYFUNCTION("""COMPUTED_VALUE"""),30.0)</f>
        <v>30</v>
      </c>
      <c r="B32" s="1" t="str">
        <f>IFERROR(__xludf.DUMMYFUNCTION("""COMPUTED_VALUE"""),"Wakayama")</f>
        <v>Wakayama</v>
      </c>
      <c r="C32" s="1" t="str">
        <f>IFERROR(__xludf.DUMMYFUNCTION("""COMPUTED_VALUE"""),"和歌山県")</f>
        <v>和歌山県</v>
      </c>
      <c r="D32" s="2">
        <f>IFERROR(__xludf.DUMMYFUNCTION("""COMPUTED_VALUE"""),4724.69)</f>
        <v>4724.69</v>
      </c>
      <c r="E32" s="2">
        <f>IFERROR(__xludf.DUMMYFUNCTION("""COMPUTED_VALUE"""),4724.69)</f>
        <v>4724.69</v>
      </c>
      <c r="F32" s="1"/>
      <c r="G32" s="3">
        <f>IFERROR(__xludf.DUMMYFUNCTION("""COMPUTED_VALUE"""),963579.0)</f>
        <v>963579</v>
      </c>
      <c r="H32" s="1">
        <f>IFERROR(__xludf.DUMMYFUNCTION("""COMPUTED_VALUE"""),203.95)</f>
        <v>203.95</v>
      </c>
      <c r="I32" s="2">
        <f>IFERROR(__xludf.DUMMYFUNCTION("""COMPUTED_VALUE"""),1115.11)</f>
        <v>1115.11</v>
      </c>
      <c r="J32" s="1">
        <f>IFERROR(__xludf.DUMMYFUNCTION("""COMPUTED_VALUE"""),864.11)</f>
        <v>864.11</v>
      </c>
      <c r="K32" s="4">
        <f>IFERROR(__xludf.DUMMYFUNCTION("""COMPUTED_VALUE"""),0.764)</f>
        <v>0.764</v>
      </c>
      <c r="L32" s="1" t="str">
        <f>IFERROR(__xludf.DUMMYFUNCTION("""COMPUTED_VALUE"""),"Wakayama")</f>
        <v>Wakayama</v>
      </c>
    </row>
    <row r="33">
      <c r="A33" s="1">
        <f>IFERROR(__xludf.DUMMYFUNCTION("""COMPUTED_VALUE"""),31.0)</f>
        <v>31</v>
      </c>
      <c r="B33" s="1" t="str">
        <f>IFERROR(__xludf.DUMMYFUNCTION("""COMPUTED_VALUE"""),"Kyoto")</f>
        <v>Kyoto</v>
      </c>
      <c r="C33" s="1" t="str">
        <f>IFERROR(__xludf.DUMMYFUNCTION("""COMPUTED_VALUE"""),"京都府")</f>
        <v>京都府</v>
      </c>
      <c r="D33" s="2">
        <f>IFERROR(__xludf.DUMMYFUNCTION("""COMPUTED_VALUE"""),4612.19)</f>
        <v>4612.19</v>
      </c>
      <c r="E33" s="2">
        <f>IFERROR(__xludf.DUMMYFUNCTION("""COMPUTED_VALUE"""),4612.19)</f>
        <v>4612.19</v>
      </c>
      <c r="F33" s="1"/>
      <c r="G33" s="3">
        <f>IFERROR(__xludf.DUMMYFUNCTION("""COMPUTED_VALUE"""),2610353.0)</f>
        <v>2610353</v>
      </c>
      <c r="H33" s="1">
        <f>IFERROR(__xludf.DUMMYFUNCTION("""COMPUTED_VALUE"""),565.97)</f>
        <v>565.97</v>
      </c>
      <c r="I33" s="2">
        <f>IFERROR(__xludf.DUMMYFUNCTION("""COMPUTED_VALUE"""),1173.81)</f>
        <v>1173.81</v>
      </c>
      <c r="J33" s="2">
        <f>IFERROR(__xludf.DUMMYFUNCTION("""COMPUTED_VALUE"""),2223.83)</f>
        <v>2223.83</v>
      </c>
      <c r="K33" s="4">
        <f>IFERROR(__xludf.DUMMYFUNCTION("""COMPUTED_VALUE"""),0.742)</f>
        <v>0.742</v>
      </c>
      <c r="L33" s="1" t="str">
        <f>IFERROR(__xludf.DUMMYFUNCTION("""COMPUTED_VALUE"""),"Kyoto")</f>
        <v>Kyoto</v>
      </c>
    </row>
    <row r="34">
      <c r="A34" s="1">
        <f>IFERROR(__xludf.DUMMYFUNCTION("""COMPUTED_VALUE"""),32.0)</f>
        <v>32</v>
      </c>
      <c r="B34" s="1" t="str">
        <f>IFERROR(__xludf.DUMMYFUNCTION("""COMPUTED_VALUE"""),"Yamanashi")</f>
        <v>Yamanashi</v>
      </c>
      <c r="C34" s="1" t="str">
        <f>IFERROR(__xludf.DUMMYFUNCTION("""COMPUTED_VALUE"""),"山梨県")</f>
        <v>山梨県</v>
      </c>
      <c r="D34" s="2">
        <f>IFERROR(__xludf.DUMMYFUNCTION("""COMPUTED_VALUE"""),4465.27)</f>
        <v>4465.27</v>
      </c>
      <c r="E34" s="2">
        <f>IFERROR(__xludf.DUMMYFUNCTION("""COMPUTED_VALUE"""),4253.95)</f>
        <v>4253.95</v>
      </c>
      <c r="F34" s="1">
        <f>IFERROR(__xludf.DUMMYFUNCTION("""COMPUTED_VALUE"""),211.32)</f>
        <v>211.32</v>
      </c>
      <c r="G34" s="3">
        <f>IFERROR(__xludf.DUMMYFUNCTION("""COMPUTED_VALUE"""),834930.0)</f>
        <v>834930</v>
      </c>
      <c r="H34" s="1">
        <f>IFERROR(__xludf.DUMMYFUNCTION("""COMPUTED_VALUE"""),186.98)</f>
        <v>186.98</v>
      </c>
      <c r="I34" s="1">
        <f>IFERROR(__xludf.DUMMYFUNCTION("""COMPUTED_VALUE"""),954.38)</f>
        <v>954.38</v>
      </c>
      <c r="J34" s="1">
        <f>IFERROR(__xludf.DUMMYFUNCTION("""COMPUTED_VALUE"""),874.84)</f>
        <v>874.84</v>
      </c>
      <c r="K34" s="4">
        <f>IFERROR(__xludf.DUMMYFUNCTION("""COMPUTED_VALUE"""),0.778)</f>
        <v>0.778</v>
      </c>
      <c r="L34" s="1" t="str">
        <f>IFERROR(__xludf.DUMMYFUNCTION("""COMPUTED_VALUE"""),"Kōfu")</f>
        <v>Kōfu</v>
      </c>
    </row>
    <row r="35">
      <c r="A35" s="1">
        <f>IFERROR(__xludf.DUMMYFUNCTION("""COMPUTED_VALUE"""),33.0)</f>
        <v>33</v>
      </c>
      <c r="B35" s="1" t="str">
        <f>IFERROR(__xludf.DUMMYFUNCTION("""COMPUTED_VALUE"""),"Toyama")</f>
        <v>Toyama</v>
      </c>
      <c r="C35" s="1" t="str">
        <f>IFERROR(__xludf.DUMMYFUNCTION("""COMPUTED_VALUE"""),"富山県")</f>
        <v>富山県</v>
      </c>
      <c r="D35" s="2">
        <f>IFERROR(__xludf.DUMMYFUNCTION("""COMPUTED_VALUE"""),4247.61)</f>
        <v>4247.61</v>
      </c>
      <c r="E35" s="2">
        <f>IFERROR(__xludf.DUMMYFUNCTION("""COMPUTED_VALUE"""),2045.94)</f>
        <v>2045.94</v>
      </c>
      <c r="F35" s="2">
        <f>IFERROR(__xludf.DUMMYFUNCTION("""COMPUTED_VALUE"""),2201.67)</f>
        <v>2201.67</v>
      </c>
      <c r="G35" s="3">
        <f>IFERROR(__xludf.DUMMYFUNCTION("""COMPUTED_VALUE"""),1066328.0)</f>
        <v>1066328</v>
      </c>
      <c r="H35" s="1">
        <f>IFERROR(__xludf.DUMMYFUNCTION("""COMPUTED_VALUE"""),251.04)</f>
        <v>251.04</v>
      </c>
      <c r="I35" s="2">
        <f>IFERROR(__xludf.DUMMYFUNCTION("""COMPUTED_VALUE"""),1842.82)</f>
        <v>1842.82</v>
      </c>
      <c r="J35" s="1">
        <f>IFERROR(__xludf.DUMMYFUNCTION("""COMPUTED_VALUE"""),578.64)</f>
        <v>578.64</v>
      </c>
      <c r="K35" s="4">
        <f>IFERROR(__xludf.DUMMYFUNCTION("""COMPUTED_VALUE"""),0.566)</f>
        <v>0.566</v>
      </c>
      <c r="L35" s="1" t="str">
        <f>IFERROR(__xludf.DUMMYFUNCTION("""COMPUTED_VALUE"""),"Toyama")</f>
        <v>Toyama</v>
      </c>
    </row>
    <row r="36">
      <c r="A36" s="1">
        <f>IFERROR(__xludf.DUMMYFUNCTION("""COMPUTED_VALUE"""),34.0)</f>
        <v>34</v>
      </c>
      <c r="B36" s="1" t="str">
        <f>IFERROR(__xludf.DUMMYFUNCTION("""COMPUTED_VALUE"""),"Fukui")</f>
        <v>Fukui</v>
      </c>
      <c r="C36" s="1" t="str">
        <f>IFERROR(__xludf.DUMMYFUNCTION("""COMPUTED_VALUE"""),"福井県")</f>
        <v>福井県</v>
      </c>
      <c r="D36" s="2">
        <f>IFERROR(__xludf.DUMMYFUNCTION("""COMPUTED_VALUE"""),4190.49)</f>
        <v>4190.49</v>
      </c>
      <c r="E36" s="2">
        <f>IFERROR(__xludf.DUMMYFUNCTION("""COMPUTED_VALUE"""),4190.49)</f>
        <v>4190.49</v>
      </c>
      <c r="F36" s="1"/>
      <c r="G36" s="3">
        <f>IFERROR(__xludf.DUMMYFUNCTION("""COMPUTED_VALUE"""),786740.0)</f>
        <v>786740</v>
      </c>
      <c r="H36" s="1">
        <f>IFERROR(__xludf.DUMMYFUNCTION("""COMPUTED_VALUE"""),187.74)</f>
        <v>187.74</v>
      </c>
      <c r="I36" s="2">
        <f>IFERROR(__xludf.DUMMYFUNCTION("""COMPUTED_VALUE"""),1077.27)</f>
        <v>1077.27</v>
      </c>
      <c r="J36" s="1">
        <f>IFERROR(__xludf.DUMMYFUNCTION("""COMPUTED_VALUE"""),730.31)</f>
        <v>730.31</v>
      </c>
      <c r="K36" s="4">
        <f>IFERROR(__xludf.DUMMYFUNCTION("""COMPUTED_VALUE"""),0.739)</f>
        <v>0.739</v>
      </c>
      <c r="L36" s="1" t="str">
        <f>IFERROR(__xludf.DUMMYFUNCTION("""COMPUTED_VALUE"""),"Fukui")</f>
        <v>Fukui</v>
      </c>
    </row>
    <row r="37">
      <c r="A37" s="1">
        <f>IFERROR(__xludf.DUMMYFUNCTION("""COMPUTED_VALUE"""),35.0)</f>
        <v>35</v>
      </c>
      <c r="B37" s="1" t="str">
        <f>IFERROR(__xludf.DUMMYFUNCTION("""COMPUTED_VALUE"""),"Ishikawa")</f>
        <v>Ishikawa</v>
      </c>
      <c r="C37" s="1" t="str">
        <f>IFERROR(__xludf.DUMMYFUNCTION("""COMPUTED_VALUE"""),"石川県")</f>
        <v>石川県</v>
      </c>
      <c r="D37" s="2">
        <f>IFERROR(__xludf.DUMMYFUNCTION("""COMPUTED_VALUE"""),4186.09)</f>
        <v>4186.09</v>
      </c>
      <c r="E37" s="2">
        <f>IFERROR(__xludf.DUMMYFUNCTION("""COMPUTED_VALUE"""),4186.09)</f>
        <v>4186.09</v>
      </c>
      <c r="F37" s="1"/>
      <c r="G37" s="3">
        <f>IFERROR(__xludf.DUMMYFUNCTION("""COMPUTED_VALUE"""),1154008.0)</f>
        <v>1154008</v>
      </c>
      <c r="H37" s="1">
        <f>IFERROR(__xludf.DUMMYFUNCTION("""COMPUTED_VALUE"""),275.68)</f>
        <v>275.68</v>
      </c>
      <c r="I37" s="2">
        <f>IFERROR(__xludf.DUMMYFUNCTION("""COMPUTED_VALUE"""),1391.86)</f>
        <v>1391.86</v>
      </c>
      <c r="J37" s="1">
        <f>IFERROR(__xludf.DUMMYFUNCTION("""COMPUTED_VALUE"""),829.11)</f>
        <v>829.11</v>
      </c>
      <c r="K37" s="4">
        <f>IFERROR(__xludf.DUMMYFUNCTION("""COMPUTED_VALUE"""),0.66)</f>
        <v>0.66</v>
      </c>
      <c r="L37" s="1" t="str">
        <f>IFERROR(__xludf.DUMMYFUNCTION("""COMPUTED_VALUE"""),"Kanazawa")</f>
        <v>Kanazawa</v>
      </c>
    </row>
    <row r="38">
      <c r="A38" s="1">
        <f>IFERROR(__xludf.DUMMYFUNCTION("""COMPUTED_VALUE"""),36.0)</f>
        <v>36</v>
      </c>
      <c r="B38" s="1" t="str">
        <f>IFERROR(__xludf.DUMMYFUNCTION("""COMPUTED_VALUE"""),"Tokushima")</f>
        <v>Tokushima</v>
      </c>
      <c r="C38" s="1" t="str">
        <f>IFERROR(__xludf.DUMMYFUNCTION("""COMPUTED_VALUE"""),"徳島県")</f>
        <v>徳島県</v>
      </c>
      <c r="D38" s="2">
        <f>IFERROR(__xludf.DUMMYFUNCTION("""COMPUTED_VALUE"""),4146.65)</f>
        <v>4146.65</v>
      </c>
      <c r="E38" s="2">
        <f>IFERROR(__xludf.DUMMYFUNCTION("""COMPUTED_VALUE"""),4146.65)</f>
        <v>4146.65</v>
      </c>
      <c r="F38" s="1"/>
      <c r="G38" s="3">
        <f>IFERROR(__xludf.DUMMYFUNCTION("""COMPUTED_VALUE"""),755733.0)</f>
        <v>755733</v>
      </c>
      <c r="H38" s="1">
        <f>IFERROR(__xludf.DUMMYFUNCTION("""COMPUTED_VALUE"""),182.25)</f>
        <v>182.25</v>
      </c>
      <c r="I38" s="2">
        <f>IFERROR(__xludf.DUMMYFUNCTION("""COMPUTED_VALUE"""),1010.2)</f>
        <v>1010.2</v>
      </c>
      <c r="J38" s="1">
        <f>IFERROR(__xludf.DUMMYFUNCTION("""COMPUTED_VALUE"""),748.1)</f>
        <v>748.1</v>
      </c>
      <c r="K38" s="4">
        <f>IFERROR(__xludf.DUMMYFUNCTION("""COMPUTED_VALUE"""),0.752)</f>
        <v>0.752</v>
      </c>
      <c r="L38" s="1" t="str">
        <f>IFERROR(__xludf.DUMMYFUNCTION("""COMPUTED_VALUE"""),"Tokushima")</f>
        <v>Tokushima</v>
      </c>
    </row>
    <row r="39">
      <c r="A39" s="1">
        <f>IFERROR(__xludf.DUMMYFUNCTION("""COMPUTED_VALUE"""),37.0)</f>
        <v>37</v>
      </c>
      <c r="B39" s="1" t="str">
        <f>IFERROR(__xludf.DUMMYFUNCTION("""COMPUTED_VALUE"""),"Nagasaki")</f>
        <v>Nagasaki</v>
      </c>
      <c r="C39" s="1" t="str">
        <f>IFERROR(__xludf.DUMMYFUNCTION("""COMPUTED_VALUE"""),"長崎県")</f>
        <v>長崎県</v>
      </c>
      <c r="D39" s="2">
        <f>IFERROR(__xludf.DUMMYFUNCTION("""COMPUTED_VALUE"""),4132.09)</f>
        <v>4132.09</v>
      </c>
      <c r="E39" s="2">
        <f>IFERROR(__xludf.DUMMYFUNCTION("""COMPUTED_VALUE"""),4132.09)</f>
        <v>4132.09</v>
      </c>
      <c r="F39" s="1"/>
      <c r="G39" s="3">
        <f>IFERROR(__xludf.DUMMYFUNCTION("""COMPUTED_VALUE"""),1377187.0)</f>
        <v>1377187</v>
      </c>
      <c r="H39" s="1">
        <f>IFERROR(__xludf.DUMMYFUNCTION("""COMPUTED_VALUE"""),333.29)</f>
        <v>333.29</v>
      </c>
      <c r="I39" s="2">
        <f>IFERROR(__xludf.DUMMYFUNCTION("""COMPUTED_VALUE"""),1676.17)</f>
        <v>1676.17</v>
      </c>
      <c r="J39" s="1">
        <f>IFERROR(__xludf.DUMMYFUNCTION("""COMPUTED_VALUE"""),821.63)</f>
        <v>821.63</v>
      </c>
      <c r="K39" s="4">
        <f>IFERROR(__xludf.DUMMYFUNCTION("""COMPUTED_VALUE"""),0.584)</f>
        <v>0.584</v>
      </c>
      <c r="L39" s="1" t="str">
        <f>IFERROR(__xludf.DUMMYFUNCTION("""COMPUTED_VALUE"""),"Nagasaki")</f>
        <v>Nagasaki</v>
      </c>
    </row>
    <row r="40">
      <c r="A40" s="1">
        <f>IFERROR(__xludf.DUMMYFUNCTION("""COMPUTED_VALUE"""),38.0)</f>
        <v>38</v>
      </c>
      <c r="B40" s="1" t="str">
        <f>IFERROR(__xludf.DUMMYFUNCTION("""COMPUTED_VALUE"""),"Shiga")</f>
        <v>Shiga</v>
      </c>
      <c r="C40" s="1" t="str">
        <f>IFERROR(__xludf.DUMMYFUNCTION("""COMPUTED_VALUE"""),"滋賀県")</f>
        <v>滋賀県</v>
      </c>
      <c r="D40" s="2">
        <f>IFERROR(__xludf.DUMMYFUNCTION("""COMPUTED_VALUE"""),4017.38)</f>
        <v>4017.38</v>
      </c>
      <c r="E40" s="2">
        <f>IFERROR(__xludf.DUMMYFUNCTION("""COMPUTED_VALUE"""),3766.99)</f>
        <v>3766.99</v>
      </c>
      <c r="F40" s="1">
        <f>IFERROR(__xludf.DUMMYFUNCTION("""COMPUTED_VALUE"""),250.39)</f>
        <v>250.39</v>
      </c>
      <c r="G40" s="3">
        <f>IFERROR(__xludf.DUMMYFUNCTION("""COMPUTED_VALUE"""),1412916.0)</f>
        <v>1412916</v>
      </c>
      <c r="H40" s="1">
        <f>IFERROR(__xludf.DUMMYFUNCTION("""COMPUTED_VALUE"""),351.7)</f>
        <v>351.7</v>
      </c>
      <c r="I40" s="2">
        <f>IFERROR(__xludf.DUMMYFUNCTION("""COMPUTED_VALUE"""),1307.26)</f>
        <v>1307.26</v>
      </c>
      <c r="J40" s="2">
        <f>IFERROR(__xludf.DUMMYFUNCTION("""COMPUTED_VALUE"""),1080.82)</f>
        <v>1080.82</v>
      </c>
      <c r="K40" s="4">
        <f>IFERROR(__xludf.DUMMYFUNCTION("""COMPUTED_VALUE"""),0.505)</f>
        <v>0.505</v>
      </c>
      <c r="L40" s="1" t="str">
        <f>IFERROR(__xludf.DUMMYFUNCTION("""COMPUTED_VALUE"""),"Ōtsu")</f>
        <v>Ōtsu</v>
      </c>
    </row>
    <row r="41">
      <c r="A41" s="1">
        <f>IFERROR(__xludf.DUMMYFUNCTION("""COMPUTED_VALUE"""),39.0)</f>
        <v>39</v>
      </c>
      <c r="B41" s="1" t="str">
        <f>IFERROR(__xludf.DUMMYFUNCTION("""COMPUTED_VALUE"""),"Saitama")</f>
        <v>Saitama</v>
      </c>
      <c r="C41" s="1" t="str">
        <f>IFERROR(__xludf.DUMMYFUNCTION("""COMPUTED_VALUE"""),"埼玉県")</f>
        <v>埼玉県</v>
      </c>
      <c r="D41" s="2">
        <f>IFERROR(__xludf.DUMMYFUNCTION("""COMPUTED_VALUE"""),3797.75)</f>
        <v>3797.75</v>
      </c>
      <c r="E41" s="2">
        <f>IFERROR(__xludf.DUMMYFUNCTION("""COMPUTED_VALUE"""),3767.62)</f>
        <v>3767.62</v>
      </c>
      <c r="F41" s="1">
        <f>IFERROR(__xludf.DUMMYFUNCTION("""COMPUTED_VALUE"""),30.13)</f>
        <v>30.13</v>
      </c>
      <c r="G41" s="3">
        <f>IFERROR(__xludf.DUMMYFUNCTION("""COMPUTED_VALUE"""),7266534.0)</f>
        <v>7266534</v>
      </c>
      <c r="H41" s="2">
        <f>IFERROR(__xludf.DUMMYFUNCTION("""COMPUTED_VALUE"""),1913.38)</f>
        <v>1913.38</v>
      </c>
      <c r="I41" s="2">
        <f>IFERROR(__xludf.DUMMYFUNCTION("""COMPUTED_VALUE"""),2584.64)</f>
        <v>2584.64</v>
      </c>
      <c r="J41" s="2">
        <f>IFERROR(__xludf.DUMMYFUNCTION("""COMPUTED_VALUE"""),2811.43)</f>
        <v>2811.43</v>
      </c>
      <c r="K41" s="4">
        <f>IFERROR(__xludf.DUMMYFUNCTION("""COMPUTED_VALUE"""),0.319)</f>
        <v>0.319</v>
      </c>
      <c r="L41" s="1" t="str">
        <f>IFERROR(__xludf.DUMMYFUNCTION("""COMPUTED_VALUE"""),"Saitama")</f>
        <v>Saitama</v>
      </c>
    </row>
    <row r="42">
      <c r="A42" s="1">
        <f>IFERROR(__xludf.DUMMYFUNCTION("""COMPUTED_VALUE"""),40.0)</f>
        <v>40</v>
      </c>
      <c r="B42" s="1" t="str">
        <f>IFERROR(__xludf.DUMMYFUNCTION("""COMPUTED_VALUE"""),"Nara")</f>
        <v>Nara</v>
      </c>
      <c r="C42" s="1" t="str">
        <f>IFERROR(__xludf.DUMMYFUNCTION("""COMPUTED_VALUE"""),"奈良県")</f>
        <v>奈良県</v>
      </c>
      <c r="D42" s="2">
        <f>IFERROR(__xludf.DUMMYFUNCTION("""COMPUTED_VALUE"""),3690.94)</f>
        <v>3690.94</v>
      </c>
      <c r="E42" s="2">
        <f>IFERROR(__xludf.DUMMYFUNCTION("""COMPUTED_VALUE"""),3690.94)</f>
        <v>3690.94</v>
      </c>
      <c r="F42" s="1"/>
      <c r="G42" s="3">
        <f>IFERROR(__xludf.DUMMYFUNCTION("""COMPUTED_VALUE"""),1364316.0)</f>
        <v>1364316</v>
      </c>
      <c r="H42" s="1">
        <f>IFERROR(__xludf.DUMMYFUNCTION("""COMPUTED_VALUE"""),369.64)</f>
        <v>369.64</v>
      </c>
      <c r="I42" s="1">
        <f>IFERROR(__xludf.DUMMYFUNCTION("""COMPUTED_VALUE"""),855.53)</f>
        <v>855.53</v>
      </c>
      <c r="J42" s="2">
        <f>IFERROR(__xludf.DUMMYFUNCTION("""COMPUTED_VALUE"""),1594.7)</f>
        <v>1594.7</v>
      </c>
      <c r="K42" s="4">
        <f>IFERROR(__xludf.DUMMYFUNCTION("""COMPUTED_VALUE"""),0.768)</f>
        <v>0.768</v>
      </c>
      <c r="L42" s="1" t="str">
        <f>IFERROR(__xludf.DUMMYFUNCTION("""COMPUTED_VALUE"""),"Nara")</f>
        <v>Nara</v>
      </c>
    </row>
    <row r="43">
      <c r="A43" s="1">
        <f>IFERROR(__xludf.DUMMYFUNCTION("""COMPUTED_VALUE"""),41.0)</f>
        <v>41</v>
      </c>
      <c r="B43" s="1" t="str">
        <f>IFERROR(__xludf.DUMMYFUNCTION("""COMPUTED_VALUE"""),"Tottori")</f>
        <v>Tottori</v>
      </c>
      <c r="C43" s="1" t="str">
        <f>IFERROR(__xludf.DUMMYFUNCTION("""COMPUTED_VALUE"""),"鳥取県")</f>
        <v>鳥取県</v>
      </c>
      <c r="D43" s="2">
        <f>IFERROR(__xludf.DUMMYFUNCTION("""COMPUTED_VALUE"""),3507.05)</f>
        <v>3507.05</v>
      </c>
      <c r="E43" s="2">
        <f>IFERROR(__xludf.DUMMYFUNCTION("""COMPUTED_VALUE"""),3507.05)</f>
        <v>3507.05</v>
      </c>
      <c r="F43" s="1"/>
      <c r="G43" s="3">
        <f>IFERROR(__xludf.DUMMYFUNCTION("""COMPUTED_VALUE"""),573441.0)</f>
        <v>573441</v>
      </c>
      <c r="H43" s="1">
        <f>IFERROR(__xludf.DUMMYFUNCTION("""COMPUTED_VALUE"""),163.51)</f>
        <v>163.51</v>
      </c>
      <c r="I43" s="1">
        <f>IFERROR(__xludf.DUMMYFUNCTION("""COMPUTED_VALUE"""),900.75)</f>
        <v>900.75</v>
      </c>
      <c r="J43" s="1">
        <f>IFERROR(__xludf.DUMMYFUNCTION("""COMPUTED_VALUE"""),636.63)</f>
        <v>636.63</v>
      </c>
      <c r="K43" s="4">
        <f>IFERROR(__xludf.DUMMYFUNCTION("""COMPUTED_VALUE"""),0.733)</f>
        <v>0.733</v>
      </c>
      <c r="L43" s="1" t="str">
        <f>IFERROR(__xludf.DUMMYFUNCTION("""COMPUTED_VALUE"""),"Tottori")</f>
        <v>Tottori</v>
      </c>
    </row>
    <row r="44">
      <c r="A44" s="1">
        <f>IFERROR(__xludf.DUMMYFUNCTION("""COMPUTED_VALUE"""),42.0)</f>
        <v>42</v>
      </c>
      <c r="B44" s="1" t="str">
        <f>IFERROR(__xludf.DUMMYFUNCTION("""COMPUTED_VALUE"""),"Saga")</f>
        <v>Saga</v>
      </c>
      <c r="C44" s="1" t="str">
        <f>IFERROR(__xludf.DUMMYFUNCTION("""COMPUTED_VALUE"""),"佐賀県")</f>
        <v>佐賀県</v>
      </c>
      <c r="D44" s="2">
        <f>IFERROR(__xludf.DUMMYFUNCTION("""COMPUTED_VALUE"""),2440.68)</f>
        <v>2440.68</v>
      </c>
      <c r="E44" s="2">
        <f>IFERROR(__xludf.DUMMYFUNCTION("""COMPUTED_VALUE"""),2440.68)</f>
        <v>2440.68</v>
      </c>
      <c r="F44" s="1"/>
      <c r="G44" s="3">
        <f>IFERROR(__xludf.DUMMYFUNCTION("""COMPUTED_VALUE"""),832832.0)</f>
        <v>832832</v>
      </c>
      <c r="H44" s="1">
        <f>IFERROR(__xludf.DUMMYFUNCTION("""COMPUTED_VALUE"""),341.23)</f>
        <v>341.23</v>
      </c>
      <c r="I44" s="2">
        <f>IFERROR(__xludf.DUMMYFUNCTION("""COMPUTED_VALUE"""),1335.61)</f>
        <v>1335.61</v>
      </c>
      <c r="J44" s="1">
        <f>IFERROR(__xludf.DUMMYFUNCTION("""COMPUTED_VALUE"""),623.56)</f>
        <v>623.56</v>
      </c>
      <c r="K44" s="4">
        <f>IFERROR(__xludf.DUMMYFUNCTION("""COMPUTED_VALUE"""),0.452)</f>
        <v>0.452</v>
      </c>
      <c r="L44" s="1" t="str">
        <f>IFERROR(__xludf.DUMMYFUNCTION("""COMPUTED_VALUE"""),"Saga")</f>
        <v>Saga</v>
      </c>
    </row>
    <row r="45">
      <c r="A45" s="1">
        <f>IFERROR(__xludf.DUMMYFUNCTION("""COMPUTED_VALUE"""),43.0)</f>
        <v>43</v>
      </c>
      <c r="B45" s="1" t="str">
        <f>IFERROR(__xludf.DUMMYFUNCTION("""COMPUTED_VALUE"""),"Kanagawa")</f>
        <v>Kanagawa</v>
      </c>
      <c r="C45" s="1" t="str">
        <f>IFERROR(__xludf.DUMMYFUNCTION("""COMPUTED_VALUE"""),"神奈川県")</f>
        <v>神奈川県</v>
      </c>
      <c r="D45" s="2">
        <f>IFERROR(__xludf.DUMMYFUNCTION("""COMPUTED_VALUE"""),2415.83)</f>
        <v>2415.83</v>
      </c>
      <c r="E45" s="2">
        <f>IFERROR(__xludf.DUMMYFUNCTION("""COMPUTED_VALUE"""),2415.83)</f>
        <v>2415.83</v>
      </c>
      <c r="F45" s="1"/>
      <c r="G45" s="3">
        <f>IFERROR(__xludf.DUMMYFUNCTION("""COMPUTED_VALUE"""),9126214.0)</f>
        <v>9126214</v>
      </c>
      <c r="H45" s="2">
        <f>IFERROR(__xludf.DUMMYFUNCTION("""COMPUTED_VALUE"""),3777.67)</f>
        <v>3777.67</v>
      </c>
      <c r="I45" s="2">
        <f>IFERROR(__xludf.DUMMYFUNCTION("""COMPUTED_VALUE"""),1470.59)</f>
        <v>1470.59</v>
      </c>
      <c r="J45" s="2">
        <f>IFERROR(__xludf.DUMMYFUNCTION("""COMPUTED_VALUE"""),6205.82)</f>
        <v>6205.82</v>
      </c>
      <c r="K45" s="4">
        <f>IFERROR(__xludf.DUMMYFUNCTION("""COMPUTED_VALUE"""),0.388)</f>
        <v>0.388</v>
      </c>
      <c r="L45" s="1" t="str">
        <f>IFERROR(__xludf.DUMMYFUNCTION("""COMPUTED_VALUE"""),"Yokohama")</f>
        <v>Yokohama</v>
      </c>
    </row>
    <row r="46">
      <c r="A46" s="1">
        <f>IFERROR(__xludf.DUMMYFUNCTION("""COMPUTED_VALUE"""),44.0)</f>
        <v>44</v>
      </c>
      <c r="B46" s="1" t="str">
        <f>IFERROR(__xludf.DUMMYFUNCTION("""COMPUTED_VALUE"""),"Okinawa")</f>
        <v>Okinawa</v>
      </c>
      <c r="C46" s="1" t="str">
        <f>IFERROR(__xludf.DUMMYFUNCTION("""COMPUTED_VALUE"""),"沖縄県")</f>
        <v>沖縄県</v>
      </c>
      <c r="D46" s="2">
        <f>IFERROR(__xludf.DUMMYFUNCTION("""COMPUTED_VALUE"""),2281.12)</f>
        <v>2281.12</v>
      </c>
      <c r="E46" s="2">
        <f>IFERROR(__xludf.DUMMYFUNCTION("""COMPUTED_VALUE"""),2281.12)</f>
        <v>2281.12</v>
      </c>
      <c r="F46" s="1"/>
      <c r="G46" s="3">
        <f>IFERROR(__xludf.DUMMYFUNCTION("""COMPUTED_VALUE"""),1433566.0)</f>
        <v>1433566</v>
      </c>
      <c r="H46" s="1">
        <f>IFERROR(__xludf.DUMMYFUNCTION("""COMPUTED_VALUE"""),628.45)</f>
        <v>628.45</v>
      </c>
      <c r="I46" s="2">
        <f>IFERROR(__xludf.DUMMYFUNCTION("""COMPUTED_VALUE"""),1169.16)</f>
        <v>1169.16</v>
      </c>
      <c r="J46" s="2">
        <f>IFERROR(__xludf.DUMMYFUNCTION("""COMPUTED_VALUE"""),1226.15)</f>
        <v>1226.15</v>
      </c>
      <c r="K46" s="4">
        <f>IFERROR(__xludf.DUMMYFUNCTION("""COMPUTED_VALUE"""),0.461)</f>
        <v>0.461</v>
      </c>
      <c r="L46" s="1" t="str">
        <f>IFERROR(__xludf.DUMMYFUNCTION("""COMPUTED_VALUE"""),"Naha")</f>
        <v>Naha</v>
      </c>
    </row>
    <row r="47">
      <c r="A47" s="1">
        <f>IFERROR(__xludf.DUMMYFUNCTION("""COMPUTED_VALUE"""),45.0)</f>
        <v>45</v>
      </c>
      <c r="B47" s="1" t="str">
        <f>IFERROR(__xludf.DUMMYFUNCTION("""COMPUTED_VALUE"""),"Tokyo")</f>
        <v>Tokyo</v>
      </c>
      <c r="C47" s="1" t="str">
        <f>IFERROR(__xludf.DUMMYFUNCTION("""COMPUTED_VALUE"""),"東京都")</f>
        <v>東京都</v>
      </c>
      <c r="D47" s="2">
        <f>IFERROR(__xludf.DUMMYFUNCTION("""COMPUTED_VALUE"""),2190.93)</f>
        <v>2190.93</v>
      </c>
      <c r="E47" s="2">
        <f>IFERROR(__xludf.DUMMYFUNCTION("""COMPUTED_VALUE"""),2106.23)</f>
        <v>2106.23</v>
      </c>
      <c r="F47" s="1">
        <f>IFERROR(__xludf.DUMMYFUNCTION("""COMPUTED_VALUE"""),84.7)</f>
        <v>84.7</v>
      </c>
      <c r="G47" s="3">
        <f>IFERROR(__xludf.DUMMYFUNCTION("""COMPUTED_VALUE"""),1.3515271E7)</f>
        <v>13515271</v>
      </c>
      <c r="H47" s="2">
        <f>IFERROR(__xludf.DUMMYFUNCTION("""COMPUTED_VALUE"""),6168.74)</f>
        <v>6168.74</v>
      </c>
      <c r="I47" s="2">
        <f>IFERROR(__xludf.DUMMYFUNCTION("""COMPUTED_VALUE"""),1418.4)</f>
        <v>1418.4</v>
      </c>
      <c r="J47" s="2">
        <f>IFERROR(__xludf.DUMMYFUNCTION("""COMPUTED_VALUE"""),9528.53)</f>
        <v>9528.53</v>
      </c>
      <c r="K47" s="4">
        <f>IFERROR(__xludf.DUMMYFUNCTION("""COMPUTED_VALUE"""),0.348)</f>
        <v>0.348</v>
      </c>
      <c r="L47" s="1" t="str">
        <f>IFERROR(__xludf.DUMMYFUNCTION("""COMPUTED_VALUE"""),"Tokyo")</f>
        <v>Tokyo</v>
      </c>
    </row>
    <row r="48">
      <c r="A48" s="1">
        <f>IFERROR(__xludf.DUMMYFUNCTION("""COMPUTED_VALUE"""),46.0)</f>
        <v>46</v>
      </c>
      <c r="B48" s="1" t="str">
        <f>IFERROR(__xludf.DUMMYFUNCTION("""COMPUTED_VALUE"""),"Osaka")</f>
        <v>Osaka</v>
      </c>
      <c r="C48" s="1" t="str">
        <f>IFERROR(__xludf.DUMMYFUNCTION("""COMPUTED_VALUE"""),"大阪府")</f>
        <v>大阪府</v>
      </c>
      <c r="D48" s="2">
        <f>IFERROR(__xludf.DUMMYFUNCTION("""COMPUTED_VALUE"""),1905.14)</f>
        <v>1905.14</v>
      </c>
      <c r="E48" s="2">
        <f>IFERROR(__xludf.DUMMYFUNCTION("""COMPUTED_VALUE"""),1905.14)</f>
        <v>1905.14</v>
      </c>
      <c r="F48" s="1"/>
      <c r="G48" s="3">
        <f>IFERROR(__xludf.DUMMYFUNCTION("""COMPUTED_VALUE"""),8839469.0)</f>
        <v>8839469</v>
      </c>
      <c r="H48" s="2">
        <f>IFERROR(__xludf.DUMMYFUNCTION("""COMPUTED_VALUE"""),4639.8)</f>
        <v>4639.8</v>
      </c>
      <c r="I48" s="2">
        <f>IFERROR(__xludf.DUMMYFUNCTION("""COMPUTED_VALUE"""),1330.58)</f>
        <v>1330.58</v>
      </c>
      <c r="J48" s="2">
        <f>IFERROR(__xludf.DUMMYFUNCTION("""COMPUTED_VALUE"""),6643.32)</f>
        <v>6643.32</v>
      </c>
      <c r="K48" s="4">
        <f>IFERROR(__xludf.DUMMYFUNCTION("""COMPUTED_VALUE"""),0.301)</f>
        <v>0.301</v>
      </c>
      <c r="L48" s="1" t="str">
        <f>IFERROR(__xludf.DUMMYFUNCTION("""COMPUTED_VALUE"""),"Osaka")</f>
        <v>Osaka</v>
      </c>
    </row>
    <row r="49">
      <c r="A49" s="1">
        <f>IFERROR(__xludf.DUMMYFUNCTION("""COMPUTED_VALUE"""),47.0)</f>
        <v>47</v>
      </c>
      <c r="B49" s="1" t="str">
        <f>IFERROR(__xludf.DUMMYFUNCTION("""COMPUTED_VALUE"""),"Kagawa")</f>
        <v>Kagawa</v>
      </c>
      <c r="C49" s="1" t="str">
        <f>IFERROR(__xludf.DUMMYFUNCTION("""COMPUTED_VALUE"""),"香川県")</f>
        <v>香川県</v>
      </c>
      <c r="D49" s="2">
        <f>IFERROR(__xludf.DUMMYFUNCTION("""COMPUTED_VALUE"""),1876.72)</f>
        <v>1876.72</v>
      </c>
      <c r="E49" s="2">
        <f>IFERROR(__xludf.DUMMYFUNCTION("""COMPUTED_VALUE"""),1862.5)</f>
        <v>1862.5</v>
      </c>
      <c r="F49" s="1">
        <f>IFERROR(__xludf.DUMMYFUNCTION("""COMPUTED_VALUE"""),14.22)</f>
        <v>14.22</v>
      </c>
      <c r="G49" s="3">
        <f>IFERROR(__xludf.DUMMYFUNCTION("""COMPUTED_VALUE"""),976263.0)</f>
        <v>976263</v>
      </c>
      <c r="H49" s="1">
        <f>IFERROR(__xludf.DUMMYFUNCTION("""COMPUTED_VALUE"""),520.2)</f>
        <v>520.2</v>
      </c>
      <c r="I49" s="2">
        <f>IFERROR(__xludf.DUMMYFUNCTION("""COMPUTED_VALUE"""),1005.54)</f>
        <v>1005.54</v>
      </c>
      <c r="J49" s="1">
        <f>IFERROR(__xludf.DUMMYFUNCTION("""COMPUTED_VALUE"""),970.88)</f>
        <v>970.88</v>
      </c>
      <c r="K49" s="4">
        <f>IFERROR(__xludf.DUMMYFUNCTION("""COMPUTED_VALUE"""),0.464)</f>
        <v>0.464</v>
      </c>
      <c r="L49" s="1" t="str">
        <f>IFERROR(__xludf.DUMMYFUNCTION("""COMPUTED_VALUE"""),"Takamatsu")</f>
        <v>Takamatsu</v>
      </c>
    </row>
    <row r="50">
      <c r="A50" s="1"/>
      <c r="B50" s="1" t="str">
        <f>IFERROR(__xludf.DUMMYFUNCTION("""COMPUTED_VALUE"""),"Japan")</f>
        <v>Japan</v>
      </c>
      <c r="C50" s="1" t="str">
        <f>IFERROR(__xludf.DUMMYFUNCTION("""COMPUTED_VALUE"""),"日本国")</f>
        <v>日本国</v>
      </c>
      <c r="D50" s="2">
        <f>IFERROR(__xludf.DUMMYFUNCTION("""COMPUTED_VALUE"""),377970.75)</f>
        <v>377970.75</v>
      </c>
      <c r="E50" s="2">
        <f>IFERROR(__xludf.DUMMYFUNCTION("""COMPUTED_VALUE"""),365190.44)</f>
        <v>365190.44</v>
      </c>
      <c r="F50" s="2">
        <f>IFERROR(__xludf.DUMMYFUNCTION("""COMPUTED_VALUE"""),12780.27)</f>
        <v>12780.27</v>
      </c>
      <c r="G50" s="3">
        <f>IFERROR(__xludf.DUMMYFUNCTION("""COMPUTED_VALUE"""),1.27094745E8)</f>
        <v>127094745</v>
      </c>
      <c r="H50" s="1">
        <f>IFERROR(__xludf.DUMMYFUNCTION("""COMPUTED_VALUE"""),336.26)</f>
        <v>336.26</v>
      </c>
      <c r="I50" s="2">
        <f>IFERROR(__xludf.DUMMYFUNCTION("""COMPUTED_VALUE"""),122630.69)</f>
        <v>122630.69</v>
      </c>
      <c r="J50" s="2">
        <f>IFERROR(__xludf.DUMMYFUNCTION("""COMPUTED_VALUE"""),1036.4)</f>
        <v>1036.4</v>
      </c>
      <c r="K50" s="4">
        <f>IFERROR(__xludf.DUMMYFUNCTION("""COMPUTED_VALUE"""),0.646)</f>
        <v>0.646</v>
      </c>
      <c r="L50" s="1" t="str">
        <f>IFERROR(__xludf.DUMMYFUNCTION("""COMPUTED_VALUE"""),"Tokyo")</f>
        <v>Tokyo</v>
      </c>
    </row>
  </sheetData>
  <drawing r:id="rId1"/>
</worksheet>
</file>